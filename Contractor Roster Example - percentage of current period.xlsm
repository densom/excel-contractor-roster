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excel-contractor-roster\"/>
    </mc:Choice>
  </mc:AlternateContent>
  <xr:revisionPtr revIDLastSave="0" documentId="13_ncr:1_{5AF1F3AD-6E47-45E3-A8BA-A24B2ED10FB1}" xr6:coauthVersionLast="47" xr6:coauthVersionMax="47" xr10:uidLastSave="{00000000-0000-0000-0000-000000000000}"/>
  <bookViews>
    <workbookView xWindow="-120" yWindow="-120" windowWidth="51840" windowHeight="21120" xr2:uid="{81DD417B-4CD5-4040-8688-039FD5C29CF7}"/>
  </bookViews>
  <sheets>
    <sheet name="Example" sheetId="2" r:id="rId1"/>
    <sheet name="Tests" sheetId="1" r:id="rId2"/>
  </sheets>
  <functionGroups builtInGroupCount="19"/>
  <definedNames>
    <definedName name="hours_per_month">Example!$B$2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M38" i="2"/>
  <c r="M40" i="2" s="1"/>
  <c r="N38" i="2"/>
  <c r="N40" i="2" s="1"/>
  <c r="O38" i="2"/>
  <c r="O40" i="2" s="1"/>
  <c r="P38" i="2"/>
  <c r="P40" i="2" s="1"/>
  <c r="Q38" i="2"/>
  <c r="Q40" i="2" s="1"/>
  <c r="R38" i="2"/>
  <c r="R40" i="2" s="1"/>
  <c r="S38" i="2"/>
  <c r="S40" i="2" s="1"/>
  <c r="T38" i="2"/>
  <c r="T40" i="2" s="1"/>
  <c r="U38" i="2"/>
  <c r="U40" i="2" s="1"/>
  <c r="V38" i="2"/>
  <c r="V40" i="2" s="1"/>
  <c r="W38" i="2"/>
  <c r="W40" i="2" s="1"/>
  <c r="X38" i="2"/>
  <c r="X40" i="2" s="1"/>
  <c r="Y38" i="2"/>
  <c r="Y40" i="2" s="1"/>
  <c r="Z38" i="2"/>
  <c r="Z40" i="2" s="1"/>
  <c r="AA38" i="2"/>
  <c r="AA40" i="2" s="1"/>
  <c r="AB38" i="2"/>
  <c r="AB40" i="2" s="1"/>
  <c r="F38" i="2"/>
  <c r="G38" i="2" s="1"/>
  <c r="H38" i="2" s="1"/>
  <c r="I38" i="2" s="1"/>
  <c r="J38" i="2" s="1"/>
  <c r="K38" i="2" s="1"/>
  <c r="L38" i="2" s="1"/>
  <c r="F4" i="2"/>
  <c r="D9" i="2"/>
  <c r="D8" i="2"/>
  <c r="D7" i="2"/>
  <c r="D6" i="2"/>
  <c r="D5" i="2"/>
  <c r="F9" i="2" a="1"/>
  <c r="F30" i="2" a="1"/>
  <c r="F19" i="2" a="1"/>
  <c r="F23" i="2" a="1"/>
  <c r="F29" i="2" a="1"/>
  <c r="F11" i="2" a="1"/>
  <c r="F17" i="2" a="1"/>
  <c r="F14" i="2" a="1"/>
  <c r="F21" i="2" a="1"/>
  <c r="F13" i="2" a="1"/>
  <c r="F6" i="2" a="1"/>
  <c r="F15" i="2" a="1"/>
  <c r="F5" i="2" a="1"/>
  <c r="F24" i="2" a="1"/>
  <c r="F7" i="2" a="1"/>
  <c r="F18" i="2" a="1"/>
  <c r="F20" i="2" a="1"/>
  <c r="F8" i="2" a="1"/>
  <c r="F28" i="2" a="1"/>
  <c r="F12" i="2" a="1"/>
  <c r="F31" i="2" a="1"/>
  <c r="F10" i="2" a="1"/>
  <c r="F22" i="2" a="1"/>
  <c r="F26" i="2" a="1"/>
  <c r="F25" i="2" a="1"/>
  <c r="F27" i="2" a="1"/>
  <c r="F16" i="2" a="1"/>
  <c r="F5" i="2" l="1"/>
  <c r="G4" i="2"/>
  <c r="F27" i="2"/>
  <c r="F25" i="2"/>
  <c r="F31" i="2"/>
  <c r="F29" i="2"/>
  <c r="F23" i="2"/>
  <c r="F30" i="2"/>
  <c r="F28" i="2"/>
  <c r="F26" i="2"/>
  <c r="F21" i="2"/>
  <c r="F19" i="2"/>
  <c r="F17" i="2"/>
  <c r="F15" i="2"/>
  <c r="F13" i="2"/>
  <c r="F11" i="2"/>
  <c r="F9" i="2"/>
  <c r="F7" i="2"/>
  <c r="F24" i="2"/>
  <c r="F22" i="2"/>
  <c r="F20" i="2"/>
  <c r="F18" i="2"/>
  <c r="F16" i="2"/>
  <c r="F14" i="2"/>
  <c r="F12" i="2"/>
  <c r="F10" i="2"/>
  <c r="F8" i="2"/>
  <c r="F6" i="2"/>
  <c r="E5" i="1"/>
  <c r="E7" i="1"/>
  <c r="E6" i="1"/>
  <c r="G24" i="2" a="1"/>
  <c r="G7" i="2" a="1"/>
  <c r="G25" i="2" a="1"/>
  <c r="G22" i="2" a="1"/>
  <c r="G5" i="2" a="1"/>
  <c r="F4" i="1" a="1"/>
  <c r="G18" i="2" a="1"/>
  <c r="G17" i="2" a="1"/>
  <c r="G31" i="2" a="1"/>
  <c r="G28" i="2" a="1"/>
  <c r="F7" i="1" a="1"/>
  <c r="G14" i="2" a="1"/>
  <c r="G20" i="2" a="1"/>
  <c r="G8" i="2" a="1"/>
  <c r="G15" i="2" a="1"/>
  <c r="G6" i="2" a="1"/>
  <c r="F6" i="1" a="1"/>
  <c r="G12" i="2" a="1"/>
  <c r="G23" i="2" a="1"/>
  <c r="G21" i="2" a="1"/>
  <c r="G16" i="2" a="1"/>
  <c r="G29" i="2" a="1"/>
  <c r="G11" i="2" a="1"/>
  <c r="G9" i="2" a="1"/>
  <c r="F5" i="1" a="1"/>
  <c r="G10" i="2" a="1"/>
  <c r="G26" i="2" a="1"/>
  <c r="G19" i="2" a="1"/>
  <c r="G30" i="2" a="1"/>
  <c r="G13" i="2" a="1"/>
  <c r="G27" i="2" a="1"/>
  <c r="F2" i="1" a="1"/>
  <c r="F3" i="1" a="1"/>
  <c r="G6" i="2" l="1"/>
  <c r="G8" i="2"/>
  <c r="G10" i="2"/>
  <c r="G12" i="2"/>
  <c r="G14" i="2"/>
  <c r="G16" i="2"/>
  <c r="G18" i="2"/>
  <c r="G20" i="2"/>
  <c r="G22" i="2"/>
  <c r="G24" i="2"/>
  <c r="G7" i="2"/>
  <c r="G9" i="2"/>
  <c r="G11" i="2"/>
  <c r="G13" i="2"/>
  <c r="G19" i="2"/>
  <c r="G30" i="2"/>
  <c r="G28" i="2"/>
  <c r="G29" i="2"/>
  <c r="G15" i="2"/>
  <c r="G26" i="2"/>
  <c r="G31" i="2"/>
  <c r="G21" i="2"/>
  <c r="G23" i="2"/>
  <c r="G17" i="2"/>
  <c r="G25" i="2"/>
  <c r="G27" i="2"/>
  <c r="G5" i="2"/>
  <c r="H4" i="2"/>
  <c r="F33" i="2"/>
  <c r="F37" i="2" s="1"/>
  <c r="F40" i="2" s="1"/>
  <c r="F7" i="1"/>
  <c r="G7" i="1" s="1"/>
  <c r="F5" i="1"/>
  <c r="G5" i="1" s="1"/>
  <c r="F6" i="1"/>
  <c r="G6" i="1" s="1"/>
  <c r="F4" i="1"/>
  <c r="F3" i="1"/>
  <c r="F2" i="1"/>
  <c r="G2" i="1"/>
  <c r="G4" i="1"/>
  <c r="G3" i="1"/>
  <c r="H30" i="2" a="1"/>
  <c r="H26" i="2" a="1"/>
  <c r="H27" i="2" a="1"/>
  <c r="H22" i="2" a="1"/>
  <c r="H24" i="2" a="1"/>
  <c r="H31" i="2" a="1"/>
  <c r="H29" i="2" a="1"/>
  <c r="H5" i="2" a="1"/>
  <c r="H9" i="2" a="1"/>
  <c r="H28" i="2" a="1"/>
  <c r="H12" i="2" a="1"/>
  <c r="H13" i="2" a="1"/>
  <c r="H19" i="2" a="1"/>
  <c r="H18" i="2" a="1"/>
  <c r="H10" i="2" a="1"/>
  <c r="H15" i="2" a="1"/>
  <c r="H6" i="2" a="1"/>
  <c r="H20" i="2" a="1"/>
  <c r="H7" i="2" a="1"/>
  <c r="H8" i="2" a="1"/>
  <c r="H17" i="2" a="1"/>
  <c r="H14" i="2" a="1"/>
  <c r="H11" i="2" a="1"/>
  <c r="H21" i="2" a="1"/>
  <c r="H23" i="2" a="1"/>
  <c r="H16" i="2" a="1"/>
  <c r="H25" i="2" a="1"/>
  <c r="G33" i="2" l="1"/>
  <c r="G37" i="2" s="1"/>
  <c r="G40" i="2" s="1"/>
  <c r="H6" i="2"/>
  <c r="H8" i="2"/>
  <c r="H10" i="2"/>
  <c r="H12" i="2"/>
  <c r="H7" i="2"/>
  <c r="H9" i="2"/>
  <c r="H11" i="2"/>
  <c r="H25" i="2"/>
  <c r="H27" i="2"/>
  <c r="H29" i="2"/>
  <c r="H31" i="2"/>
  <c r="H16" i="2"/>
  <c r="H19" i="2"/>
  <c r="H24" i="2"/>
  <c r="H30" i="2"/>
  <c r="H28" i="2"/>
  <c r="H15" i="2"/>
  <c r="H13" i="2"/>
  <c r="H18" i="2"/>
  <c r="H22" i="2"/>
  <c r="H26" i="2"/>
  <c r="H21" i="2"/>
  <c r="H14" i="2"/>
  <c r="H23" i="2"/>
  <c r="H17" i="2"/>
  <c r="H20" i="2"/>
  <c r="H5" i="2"/>
  <c r="I4" i="2"/>
  <c r="I13" i="2" a="1"/>
  <c r="I10" i="2" a="1"/>
  <c r="I5" i="2" a="1"/>
  <c r="I9" i="2" a="1"/>
  <c r="I15" i="2" a="1"/>
  <c r="I17" i="2" a="1"/>
  <c r="I6" i="2" a="1"/>
  <c r="I30" i="2" a="1"/>
  <c r="I22" i="2" a="1"/>
  <c r="I8" i="2" a="1"/>
  <c r="I24" i="2" a="1"/>
  <c r="I31" i="2" a="1"/>
  <c r="I11" i="2" a="1"/>
  <c r="I26" i="2" a="1"/>
  <c r="I28" i="2" a="1"/>
  <c r="I18" i="2" a="1"/>
  <c r="I16" i="2" a="1"/>
  <c r="I25" i="2" a="1"/>
  <c r="I20" i="2" a="1"/>
  <c r="I21" i="2" a="1"/>
  <c r="I23" i="2" a="1"/>
  <c r="I7" i="2" a="1"/>
  <c r="I12" i="2" a="1"/>
  <c r="I14" i="2" a="1"/>
  <c r="I29" i="2" a="1"/>
  <c r="I27" i="2" a="1"/>
  <c r="I19" i="2" a="1"/>
  <c r="I6" i="2" l="1"/>
  <c r="I8" i="2"/>
  <c r="I10" i="2"/>
  <c r="I12" i="2"/>
  <c r="I7" i="2"/>
  <c r="I9" i="2"/>
  <c r="I11" i="2"/>
  <c r="I14" i="2"/>
  <c r="I20" i="2"/>
  <c r="I30" i="2"/>
  <c r="I25" i="2"/>
  <c r="I27" i="2"/>
  <c r="I29" i="2"/>
  <c r="I31" i="2"/>
  <c r="I16" i="2"/>
  <c r="I19" i="2"/>
  <c r="I24" i="2"/>
  <c r="I15" i="2"/>
  <c r="I13" i="2"/>
  <c r="I18" i="2"/>
  <c r="I22" i="2"/>
  <c r="I26" i="2"/>
  <c r="I21" i="2"/>
  <c r="I28" i="2"/>
  <c r="I23" i="2"/>
  <c r="I17" i="2"/>
  <c r="I5" i="2"/>
  <c r="J4" i="2"/>
  <c r="H33" i="2"/>
  <c r="H37" i="2" s="1"/>
  <c r="J19" i="2" a="1"/>
  <c r="J12" i="2" a="1"/>
  <c r="J31" i="2" a="1"/>
  <c r="J17" i="2" a="1"/>
  <c r="J5" i="2" a="1"/>
  <c r="J29" i="2" a="1"/>
  <c r="J26" i="2" a="1"/>
  <c r="J27" i="2" a="1"/>
  <c r="J13" i="2" a="1"/>
  <c r="J25" i="2" a="1"/>
  <c r="J11" i="2" a="1"/>
  <c r="J20" i="2" a="1"/>
  <c r="J10" i="2" a="1"/>
  <c r="J6" i="2" a="1"/>
  <c r="J23" i="2" a="1"/>
  <c r="J8" i="2" a="1"/>
  <c r="J30" i="2" a="1"/>
  <c r="J9" i="2" a="1"/>
  <c r="J18" i="2" a="1"/>
  <c r="J16" i="2" a="1"/>
  <c r="J14" i="2" a="1"/>
  <c r="J22" i="2" a="1"/>
  <c r="J15" i="2" a="1"/>
  <c r="J7" i="2" a="1"/>
  <c r="J28" i="2" a="1"/>
  <c r="J21" i="2" a="1"/>
  <c r="J24" i="2" a="1"/>
  <c r="H40" i="2" l="1"/>
  <c r="J7" i="2"/>
  <c r="J9" i="2"/>
  <c r="J11" i="2"/>
  <c r="J13" i="2"/>
  <c r="J15" i="2"/>
  <c r="J17" i="2"/>
  <c r="J19" i="2"/>
  <c r="J21" i="2"/>
  <c r="J23" i="2"/>
  <c r="J6" i="2"/>
  <c r="J8" i="2"/>
  <c r="J10" i="2"/>
  <c r="J12" i="2"/>
  <c r="J14" i="2"/>
  <c r="J16" i="2"/>
  <c r="J18" i="2"/>
  <c r="J20" i="2"/>
  <c r="J30" i="2"/>
  <c r="J25" i="2"/>
  <c r="J27" i="2"/>
  <c r="J29" i="2"/>
  <c r="J31" i="2"/>
  <c r="J24" i="2"/>
  <c r="J28" i="2"/>
  <c r="J22" i="2"/>
  <c r="J26" i="2"/>
  <c r="J5" i="2"/>
  <c r="I33" i="2"/>
  <c r="I37" i="2" s="1"/>
  <c r="K4" i="2"/>
  <c r="K18" i="2" a="1"/>
  <c r="K9" i="2" a="1"/>
  <c r="K28" i="2" a="1"/>
  <c r="K29" i="2" a="1"/>
  <c r="K8" i="2" a="1"/>
  <c r="K31" i="2" a="1"/>
  <c r="K11" i="2" a="1"/>
  <c r="K16" i="2" a="1"/>
  <c r="K7" i="2" a="1"/>
  <c r="K14" i="2" a="1"/>
  <c r="K6" i="2" a="1"/>
  <c r="K24" i="2" a="1"/>
  <c r="K23" i="2" a="1"/>
  <c r="K17" i="2" a="1"/>
  <c r="K5" i="2" a="1"/>
  <c r="K19" i="2" a="1"/>
  <c r="K30" i="2" a="1"/>
  <c r="K15" i="2" a="1"/>
  <c r="K20" i="2" a="1"/>
  <c r="K26" i="2" a="1"/>
  <c r="K21" i="2" a="1"/>
  <c r="K25" i="2" a="1"/>
  <c r="K13" i="2" a="1"/>
  <c r="K27" i="2" a="1"/>
  <c r="K12" i="2" a="1"/>
  <c r="K10" i="2" a="1"/>
  <c r="K22" i="2" a="1"/>
  <c r="I40" i="2" l="1"/>
  <c r="K7" i="2"/>
  <c r="K9" i="2"/>
  <c r="K11" i="2"/>
  <c r="K13" i="2"/>
  <c r="K15" i="2"/>
  <c r="K17" i="2"/>
  <c r="K19" i="2"/>
  <c r="K21" i="2"/>
  <c r="K23" i="2"/>
  <c r="K6" i="2"/>
  <c r="K8" i="2"/>
  <c r="K10" i="2"/>
  <c r="K12" i="2"/>
  <c r="K14" i="2"/>
  <c r="K20" i="2"/>
  <c r="K29" i="2"/>
  <c r="K28" i="2"/>
  <c r="K16" i="2"/>
  <c r="K31" i="2"/>
  <c r="K27" i="2"/>
  <c r="K25" i="2"/>
  <c r="K24" i="2"/>
  <c r="K18" i="2"/>
  <c r="K22" i="2"/>
  <c r="K30" i="2"/>
  <c r="K26" i="2"/>
  <c r="K5" i="2"/>
  <c r="L4" i="2"/>
  <c r="J33" i="2"/>
  <c r="J37" i="2" s="1"/>
  <c r="L18" i="2" a="1"/>
  <c r="L26" i="2" a="1"/>
  <c r="L5" i="2" a="1"/>
  <c r="L25" i="2" a="1"/>
  <c r="L29" i="2" a="1"/>
  <c r="L13" i="2" a="1"/>
  <c r="L23" i="2" a="1"/>
  <c r="L31" i="2" a="1"/>
  <c r="L12" i="2" a="1"/>
  <c r="L27" i="2" a="1"/>
  <c r="L7" i="2" a="1"/>
  <c r="L15" i="2" a="1"/>
  <c r="L6" i="2" a="1"/>
  <c r="L9" i="2" a="1"/>
  <c r="L19" i="2" a="1"/>
  <c r="L21" i="2" a="1"/>
  <c r="L28" i="2" a="1"/>
  <c r="L17" i="2" a="1"/>
  <c r="L10" i="2" a="1"/>
  <c r="L16" i="2" a="1"/>
  <c r="L8" i="2" a="1"/>
  <c r="L30" i="2" a="1"/>
  <c r="L11" i="2" a="1"/>
  <c r="L24" i="2" a="1"/>
  <c r="L20" i="2" a="1"/>
  <c r="L14" i="2" a="1"/>
  <c r="L22" i="2" a="1"/>
  <c r="J40" i="2" l="1"/>
  <c r="L7" i="2"/>
  <c r="L9" i="2"/>
  <c r="L11" i="2"/>
  <c r="L6" i="2"/>
  <c r="L8" i="2"/>
  <c r="L10" i="2"/>
  <c r="L17" i="2"/>
  <c r="L26" i="2"/>
  <c r="L28" i="2"/>
  <c r="L30" i="2"/>
  <c r="L14" i="2"/>
  <c r="L20" i="2"/>
  <c r="L16" i="2"/>
  <c r="L19" i="2"/>
  <c r="L29" i="2"/>
  <c r="L24" i="2"/>
  <c r="L25" i="2"/>
  <c r="L27" i="2"/>
  <c r="L31" i="2"/>
  <c r="L23" i="2"/>
  <c r="L15" i="2"/>
  <c r="L12" i="2"/>
  <c r="L13" i="2"/>
  <c r="L18" i="2"/>
  <c r="L21" i="2"/>
  <c r="L22" i="2"/>
  <c r="L5" i="2"/>
  <c r="M4" i="2"/>
  <c r="K33" i="2"/>
  <c r="K37" i="2" s="1"/>
  <c r="M18" i="2" a="1"/>
  <c r="M20" i="2" a="1"/>
  <c r="M13" i="2" a="1"/>
  <c r="M12" i="2" a="1"/>
  <c r="M15" i="2" a="1"/>
  <c r="M31" i="2" a="1"/>
  <c r="M28" i="2" a="1"/>
  <c r="M8" i="2" a="1"/>
  <c r="M29" i="2" a="1"/>
  <c r="M24" i="2" a="1"/>
  <c r="M23" i="2" a="1"/>
  <c r="M11" i="2" a="1"/>
  <c r="M7" i="2" a="1"/>
  <c r="M14" i="2" a="1"/>
  <c r="M19" i="2" a="1"/>
  <c r="M25" i="2" a="1"/>
  <c r="M5" i="2" a="1"/>
  <c r="M22" i="2" a="1"/>
  <c r="M6" i="2" a="1"/>
  <c r="M9" i="2" a="1"/>
  <c r="M27" i="2" a="1"/>
  <c r="M21" i="2" a="1"/>
  <c r="M26" i="2" a="1"/>
  <c r="M10" i="2" a="1"/>
  <c r="M16" i="2" a="1"/>
  <c r="M30" i="2" a="1"/>
  <c r="M17" i="2" a="1"/>
  <c r="K40" i="2" l="1"/>
  <c r="M7" i="2"/>
  <c r="M9" i="2"/>
  <c r="M11" i="2"/>
  <c r="M6" i="2"/>
  <c r="M8" i="2"/>
  <c r="M10" i="2"/>
  <c r="M12" i="2"/>
  <c r="M23" i="2"/>
  <c r="M17" i="2"/>
  <c r="M14" i="2"/>
  <c r="M20" i="2"/>
  <c r="M26" i="2"/>
  <c r="M28" i="2"/>
  <c r="M30" i="2"/>
  <c r="M31" i="2"/>
  <c r="M27" i="2"/>
  <c r="M16" i="2"/>
  <c r="M19" i="2"/>
  <c r="M24" i="2"/>
  <c r="M29" i="2"/>
  <c r="M25" i="2"/>
  <c r="M15" i="2"/>
  <c r="M13" i="2"/>
  <c r="M18" i="2"/>
  <c r="M21" i="2"/>
  <c r="M22" i="2"/>
  <c r="M5" i="2"/>
  <c r="N4" i="2"/>
  <c r="L33" i="2"/>
  <c r="L37" i="2" s="1"/>
  <c r="N31" i="2" a="1"/>
  <c r="N7" i="2" a="1"/>
  <c r="N12" i="2" a="1"/>
  <c r="N13" i="2" a="1"/>
  <c r="N9" i="2" a="1"/>
  <c r="N28" i="2" a="1"/>
  <c r="N19" i="2" a="1"/>
  <c r="N21" i="2" a="1"/>
  <c r="N17" i="2" a="1"/>
  <c r="N29" i="2" a="1"/>
  <c r="N14" i="2" a="1"/>
  <c r="N5" i="2" a="1"/>
  <c r="N10" i="2" a="1"/>
  <c r="N20" i="2" a="1"/>
  <c r="N22" i="2" a="1"/>
  <c r="N18" i="2" a="1"/>
  <c r="N6" i="2" a="1"/>
  <c r="N30" i="2" a="1"/>
  <c r="N16" i="2" a="1"/>
  <c r="N24" i="2" a="1"/>
  <c r="N26" i="2" a="1"/>
  <c r="N27" i="2" a="1"/>
  <c r="N23" i="2" a="1"/>
  <c r="N15" i="2" a="1"/>
  <c r="N8" i="2" a="1"/>
  <c r="N11" i="2" a="1"/>
  <c r="N25" i="2" a="1"/>
  <c r="L40" i="2" l="1"/>
  <c r="N6" i="2"/>
  <c r="N8" i="2"/>
  <c r="N10" i="2"/>
  <c r="N12" i="2"/>
  <c r="N14" i="2"/>
  <c r="N16" i="2"/>
  <c r="N18" i="2"/>
  <c r="N20" i="2"/>
  <c r="N22" i="2"/>
  <c r="N24" i="2"/>
  <c r="N7" i="2"/>
  <c r="N9" i="2"/>
  <c r="N11" i="2"/>
  <c r="N13" i="2"/>
  <c r="N15" i="2"/>
  <c r="N17" i="2"/>
  <c r="N19" i="2"/>
  <c r="N23" i="2"/>
  <c r="N27" i="2"/>
  <c r="N26" i="2"/>
  <c r="N28" i="2"/>
  <c r="N30" i="2"/>
  <c r="N29" i="2"/>
  <c r="N31" i="2"/>
  <c r="N25" i="2"/>
  <c r="N21" i="2"/>
  <c r="N5" i="2"/>
  <c r="O4" i="2"/>
  <c r="M33" i="2"/>
  <c r="M37" i="2" s="1"/>
  <c r="O20" i="2" a="1"/>
  <c r="O26" i="2" a="1"/>
  <c r="O7" i="2" a="1"/>
  <c r="O24" i="2" a="1"/>
  <c r="O8" i="2" a="1"/>
  <c r="O10" i="2" a="1"/>
  <c r="O5" i="2" a="1"/>
  <c r="O6" i="2" a="1"/>
  <c r="O16" i="2" a="1"/>
  <c r="O14" i="2" a="1"/>
  <c r="O22" i="2" a="1"/>
  <c r="O21" i="2" a="1"/>
  <c r="O17" i="2" a="1"/>
  <c r="O28" i="2" a="1"/>
  <c r="O15" i="2" a="1"/>
  <c r="O19" i="2" a="1"/>
  <c r="O12" i="2" a="1"/>
  <c r="O23" i="2" a="1"/>
  <c r="O31" i="2" a="1"/>
  <c r="O25" i="2" a="1"/>
  <c r="O27" i="2" a="1"/>
  <c r="O30" i="2" a="1"/>
  <c r="O18" i="2" a="1"/>
  <c r="O9" i="2" a="1"/>
  <c r="O29" i="2" a="1"/>
  <c r="O11" i="2" a="1"/>
  <c r="O13" i="2" a="1"/>
  <c r="O6" i="2" l="1"/>
  <c r="O8" i="2"/>
  <c r="O10" i="2"/>
  <c r="O12" i="2"/>
  <c r="O14" i="2"/>
  <c r="O16" i="2"/>
  <c r="O18" i="2"/>
  <c r="O20" i="2"/>
  <c r="O22" i="2"/>
  <c r="O24" i="2"/>
  <c r="O7" i="2"/>
  <c r="O9" i="2"/>
  <c r="O11" i="2"/>
  <c r="O13" i="2"/>
  <c r="O28" i="2"/>
  <c r="O31" i="2"/>
  <c r="O17" i="2"/>
  <c r="O23" i="2"/>
  <c r="O26" i="2"/>
  <c r="O30" i="2"/>
  <c r="O19" i="2"/>
  <c r="O15" i="2"/>
  <c r="O21" i="2"/>
  <c r="O25" i="2"/>
  <c r="O27" i="2"/>
  <c r="O29" i="2"/>
  <c r="O5" i="2"/>
  <c r="P4" i="2"/>
  <c r="N33" i="2"/>
  <c r="N37" i="2" s="1"/>
  <c r="P24" i="2" a="1"/>
  <c r="P10" i="2" a="1"/>
  <c r="P19" i="2" a="1"/>
  <c r="P30" i="2" a="1"/>
  <c r="P20" i="2" a="1"/>
  <c r="P14" i="2" a="1"/>
  <c r="P29" i="2" a="1"/>
  <c r="P27" i="2" a="1"/>
  <c r="P18" i="2" a="1"/>
  <c r="P15" i="2" a="1"/>
  <c r="P25" i="2" a="1"/>
  <c r="P21" i="2" a="1"/>
  <c r="P11" i="2" a="1"/>
  <c r="P8" i="2" a="1"/>
  <c r="P9" i="2" a="1"/>
  <c r="P28" i="2" a="1"/>
  <c r="P31" i="2" a="1"/>
  <c r="P16" i="2" a="1"/>
  <c r="P6" i="2" a="1"/>
  <c r="P23" i="2" a="1"/>
  <c r="P22" i="2" a="1"/>
  <c r="P13" i="2" a="1"/>
  <c r="P12" i="2" a="1"/>
  <c r="P7" i="2" a="1"/>
  <c r="P26" i="2" a="1"/>
  <c r="P17" i="2" a="1"/>
  <c r="P5" i="2" a="1"/>
  <c r="P6" i="2" l="1"/>
  <c r="P8" i="2"/>
  <c r="P10" i="2"/>
  <c r="P7" i="2"/>
  <c r="P9" i="2"/>
  <c r="P11" i="2"/>
  <c r="P21" i="2"/>
  <c r="P25" i="2"/>
  <c r="P27" i="2"/>
  <c r="P29" i="2"/>
  <c r="P31" i="2"/>
  <c r="P22" i="2"/>
  <c r="P17" i="2"/>
  <c r="P14" i="2"/>
  <c r="P20" i="2"/>
  <c r="P23" i="2"/>
  <c r="P30" i="2"/>
  <c r="P16" i="2"/>
  <c r="P26" i="2"/>
  <c r="P28" i="2"/>
  <c r="P19" i="2"/>
  <c r="P24" i="2"/>
  <c r="P12" i="2"/>
  <c r="P13" i="2"/>
  <c r="P15" i="2"/>
  <c r="P18" i="2"/>
  <c r="P5" i="2"/>
  <c r="Q4" i="2"/>
  <c r="O33" i="2"/>
  <c r="O37" i="2" s="1"/>
  <c r="Q16" i="2" a="1"/>
  <c r="Q17" i="2" a="1"/>
  <c r="Q12" i="2" a="1"/>
  <c r="Q26" i="2" a="1"/>
  <c r="Q22" i="2" a="1"/>
  <c r="Q19" i="2" a="1"/>
  <c r="Q9" i="2" a="1"/>
  <c r="Q29" i="2" a="1"/>
  <c r="Q24" i="2" a="1"/>
  <c r="Q27" i="2" a="1"/>
  <c r="Q7" i="2" a="1"/>
  <c r="Q5" i="2" a="1"/>
  <c r="Q30" i="2" a="1"/>
  <c r="Q25" i="2" a="1"/>
  <c r="Q28" i="2" a="1"/>
  <c r="Q23" i="2" a="1"/>
  <c r="Q15" i="2" a="1"/>
  <c r="Q20" i="2" a="1"/>
  <c r="Q14" i="2" a="1"/>
  <c r="Q18" i="2" a="1"/>
  <c r="Q13" i="2" a="1"/>
  <c r="Q31" i="2" a="1"/>
  <c r="Q21" i="2" a="1"/>
  <c r="Q11" i="2" a="1"/>
  <c r="Q10" i="2" a="1"/>
  <c r="Q8" i="2" a="1"/>
  <c r="Q6" i="2" a="1"/>
  <c r="Q6" i="2" l="1"/>
  <c r="Q8" i="2"/>
  <c r="Q10" i="2"/>
  <c r="Q12" i="2"/>
  <c r="Q7" i="2"/>
  <c r="Q9" i="2"/>
  <c r="Q11" i="2"/>
  <c r="Q22" i="2"/>
  <c r="Q21" i="2"/>
  <c r="Q31" i="2"/>
  <c r="Q25" i="2"/>
  <c r="Q27" i="2"/>
  <c r="Q29" i="2"/>
  <c r="Q18" i="2"/>
  <c r="Q17" i="2"/>
  <c r="Q14" i="2"/>
  <c r="Q20" i="2"/>
  <c r="Q23" i="2"/>
  <c r="Q28" i="2"/>
  <c r="Q30" i="2"/>
  <c r="Q24" i="2"/>
  <c r="Q16" i="2"/>
  <c r="Q19" i="2"/>
  <c r="Q26" i="2"/>
  <c r="Q13" i="2"/>
  <c r="Q15" i="2"/>
  <c r="Q5" i="2"/>
  <c r="R4" i="2"/>
  <c r="P33" i="2"/>
  <c r="P37" i="2" s="1"/>
  <c r="R31" i="2" a="1"/>
  <c r="R27" i="2" a="1"/>
  <c r="R25" i="2" a="1"/>
  <c r="R22" i="2" a="1"/>
  <c r="R13" i="2" a="1"/>
  <c r="R11" i="2" a="1"/>
  <c r="R14" i="2" a="1"/>
  <c r="R20" i="2" a="1"/>
  <c r="R6" i="2" a="1"/>
  <c r="R10" i="2" a="1"/>
  <c r="R8" i="2" a="1"/>
  <c r="R28" i="2" a="1"/>
  <c r="R21" i="2" a="1"/>
  <c r="R19" i="2" a="1"/>
  <c r="R17" i="2" a="1"/>
  <c r="R7" i="2" a="1"/>
  <c r="R18" i="2" a="1"/>
  <c r="R9" i="2" a="1"/>
  <c r="R12" i="2" a="1"/>
  <c r="R5" i="2" a="1"/>
  <c r="R24" i="2" a="1"/>
  <c r="R23" i="2" a="1"/>
  <c r="R30" i="2" a="1"/>
  <c r="R15" i="2" a="1"/>
  <c r="R29" i="2" a="1"/>
  <c r="R26" i="2" a="1"/>
  <c r="R16" i="2" a="1"/>
  <c r="R7" i="2" l="1"/>
  <c r="R9" i="2"/>
  <c r="R11" i="2"/>
  <c r="R13" i="2"/>
  <c r="R15" i="2"/>
  <c r="R17" i="2"/>
  <c r="R19" i="2"/>
  <c r="R21" i="2"/>
  <c r="R23" i="2"/>
  <c r="R6" i="2"/>
  <c r="R8" i="2"/>
  <c r="R10" i="2"/>
  <c r="R12" i="2"/>
  <c r="R14" i="2"/>
  <c r="R16" i="2"/>
  <c r="R18" i="2"/>
  <c r="R20" i="2"/>
  <c r="R22" i="2"/>
  <c r="R25" i="2"/>
  <c r="R27" i="2"/>
  <c r="R29" i="2"/>
  <c r="R31" i="2"/>
  <c r="R30" i="2"/>
  <c r="R28" i="2"/>
  <c r="R26" i="2"/>
  <c r="R24" i="2"/>
  <c r="R5" i="2"/>
  <c r="S4" i="2"/>
  <c r="Q33" i="2"/>
  <c r="Q37" i="2" s="1"/>
  <c r="S25" i="2" a="1"/>
  <c r="S19" i="2" a="1"/>
  <c r="S18" i="2" a="1"/>
  <c r="S23" i="2" a="1"/>
  <c r="S6" i="2" a="1"/>
  <c r="S31" i="2" a="1"/>
  <c r="S12" i="2" a="1"/>
  <c r="S28" i="2" a="1"/>
  <c r="S21" i="2" a="1"/>
  <c r="S27" i="2" a="1"/>
  <c r="S17" i="2" a="1"/>
  <c r="S11" i="2" a="1"/>
  <c r="S9" i="2" a="1"/>
  <c r="S15" i="2" a="1"/>
  <c r="S7" i="2" a="1"/>
  <c r="S30" i="2" a="1"/>
  <c r="S5" i="2" a="1"/>
  <c r="S24" i="2" a="1"/>
  <c r="S10" i="2" a="1"/>
  <c r="S8" i="2" a="1"/>
  <c r="S26" i="2" a="1"/>
  <c r="S16" i="2" a="1"/>
  <c r="S20" i="2" a="1"/>
  <c r="S13" i="2" a="1"/>
  <c r="S29" i="2" a="1"/>
  <c r="S22" i="2" a="1"/>
  <c r="S14" i="2" a="1"/>
  <c r="S7" i="2" l="1"/>
  <c r="S9" i="2"/>
  <c r="S11" i="2"/>
  <c r="S13" i="2"/>
  <c r="S15" i="2"/>
  <c r="S17" i="2"/>
  <c r="S19" i="2"/>
  <c r="S21" i="2"/>
  <c r="S23" i="2"/>
  <c r="S6" i="2"/>
  <c r="S8" i="2"/>
  <c r="S10" i="2"/>
  <c r="S12" i="2"/>
  <c r="S14" i="2"/>
  <c r="S18" i="2"/>
  <c r="S24" i="2"/>
  <c r="S22" i="2"/>
  <c r="S31" i="2"/>
  <c r="S29" i="2"/>
  <c r="S30" i="2"/>
  <c r="S20" i="2"/>
  <c r="S25" i="2"/>
  <c r="S27" i="2"/>
  <c r="S28" i="2"/>
  <c r="S16" i="2"/>
  <c r="S26" i="2"/>
  <c r="S5" i="2"/>
  <c r="T4" i="2"/>
  <c r="R33" i="2"/>
  <c r="R37" i="2" s="1"/>
  <c r="T27" i="2" a="1"/>
  <c r="T24" i="2" a="1"/>
  <c r="T18" i="2" a="1"/>
  <c r="T25" i="2" a="1"/>
  <c r="T8" i="2" a="1"/>
  <c r="T20" i="2" a="1"/>
  <c r="T6" i="2" a="1"/>
  <c r="T17" i="2" a="1"/>
  <c r="T28" i="2" a="1"/>
  <c r="T21" i="2" a="1"/>
  <c r="T29" i="2" a="1"/>
  <c r="T16" i="2" a="1"/>
  <c r="T9" i="2" a="1"/>
  <c r="T23" i="2" a="1"/>
  <c r="T10" i="2" a="1"/>
  <c r="T12" i="2" a="1"/>
  <c r="T19" i="2" a="1"/>
  <c r="T26" i="2" a="1"/>
  <c r="T14" i="2" a="1"/>
  <c r="T13" i="2" a="1"/>
  <c r="T11" i="2" a="1"/>
  <c r="T15" i="2" a="1"/>
  <c r="T22" i="2" a="1"/>
  <c r="T30" i="2" a="1"/>
  <c r="T5" i="2" a="1"/>
  <c r="T7" i="2" a="1"/>
  <c r="T31" i="2" a="1"/>
  <c r="T7" i="2" l="1"/>
  <c r="T9" i="2"/>
  <c r="T11" i="2"/>
  <c r="T6" i="2"/>
  <c r="T8" i="2"/>
  <c r="T10" i="2"/>
  <c r="T13" i="2"/>
  <c r="T15" i="2"/>
  <c r="T26" i="2"/>
  <c r="T28" i="2"/>
  <c r="T30" i="2"/>
  <c r="T18" i="2"/>
  <c r="T24" i="2"/>
  <c r="T29" i="2"/>
  <c r="T31" i="2"/>
  <c r="T21" i="2"/>
  <c r="T22" i="2"/>
  <c r="T14" i="2"/>
  <c r="T17" i="2"/>
  <c r="T20" i="2"/>
  <c r="T25" i="2"/>
  <c r="T27" i="2"/>
  <c r="T23" i="2"/>
  <c r="T16" i="2"/>
  <c r="T19" i="2"/>
  <c r="T12" i="2"/>
  <c r="T5" i="2"/>
  <c r="U4" i="2"/>
  <c r="S33" i="2"/>
  <c r="S37" i="2" s="1"/>
  <c r="U27" i="2" a="1"/>
  <c r="U28" i="2" a="1"/>
  <c r="U10" i="2" a="1"/>
  <c r="U26" i="2" a="1"/>
  <c r="U23" i="2" a="1"/>
  <c r="U5" i="2" a="1"/>
  <c r="U8" i="2" a="1"/>
  <c r="U20" i="2" a="1"/>
  <c r="U19" i="2" a="1"/>
  <c r="U16" i="2" a="1"/>
  <c r="U18" i="2" a="1"/>
  <c r="U15" i="2" a="1"/>
  <c r="U6" i="2" a="1"/>
  <c r="U31" i="2" a="1"/>
  <c r="U13" i="2" a="1"/>
  <c r="U21" i="2" a="1"/>
  <c r="U24" i="2" a="1"/>
  <c r="U29" i="2" a="1"/>
  <c r="U11" i="2" a="1"/>
  <c r="U14" i="2" a="1"/>
  <c r="U22" i="2" a="1"/>
  <c r="U25" i="2" a="1"/>
  <c r="U12" i="2" a="1"/>
  <c r="U9" i="2" a="1"/>
  <c r="U17" i="2" a="1"/>
  <c r="U7" i="2" a="1"/>
  <c r="U30" i="2" a="1"/>
  <c r="U7" i="2" l="1"/>
  <c r="U9" i="2"/>
  <c r="U11" i="2"/>
  <c r="U6" i="2"/>
  <c r="U8" i="2"/>
  <c r="U10" i="2"/>
  <c r="U12" i="2"/>
  <c r="U13" i="2"/>
  <c r="U15" i="2"/>
  <c r="U18" i="2"/>
  <c r="U24" i="2"/>
  <c r="U26" i="2"/>
  <c r="U28" i="2"/>
  <c r="U30" i="2"/>
  <c r="U21" i="2"/>
  <c r="U22" i="2"/>
  <c r="U14" i="2"/>
  <c r="U17" i="2"/>
  <c r="U29" i="2"/>
  <c r="U20" i="2"/>
  <c r="U23" i="2"/>
  <c r="U27" i="2"/>
  <c r="U25" i="2"/>
  <c r="U31" i="2"/>
  <c r="U16" i="2"/>
  <c r="U19" i="2"/>
  <c r="U5" i="2"/>
  <c r="V4" i="2"/>
  <c r="T33" i="2"/>
  <c r="T37" i="2" s="1"/>
  <c r="V18" i="2" a="1"/>
  <c r="V10" i="2" a="1"/>
  <c r="V31" i="2" a="1"/>
  <c r="V8" i="2" a="1"/>
  <c r="V16" i="2" a="1"/>
  <c r="V6" i="2" a="1"/>
  <c r="V21" i="2" a="1"/>
  <c r="V30" i="2" a="1"/>
  <c r="V13" i="2" a="1"/>
  <c r="V12" i="2" a="1"/>
  <c r="V25" i="2" a="1"/>
  <c r="V28" i="2" a="1"/>
  <c r="V24" i="2" a="1"/>
  <c r="V19" i="2" a="1"/>
  <c r="V15" i="2" a="1"/>
  <c r="V11" i="2" a="1"/>
  <c r="V17" i="2" a="1"/>
  <c r="V26" i="2" a="1"/>
  <c r="V5" i="2" a="1"/>
  <c r="V29" i="2" a="1"/>
  <c r="V22" i="2" a="1"/>
  <c r="V14" i="2" a="1"/>
  <c r="V9" i="2" a="1"/>
  <c r="V7" i="2" a="1"/>
  <c r="V20" i="2" a="1"/>
  <c r="V27" i="2" a="1"/>
  <c r="V23" i="2" a="1"/>
  <c r="V6" i="2" l="1"/>
  <c r="V8" i="2"/>
  <c r="V10" i="2"/>
  <c r="V12" i="2"/>
  <c r="V14" i="2"/>
  <c r="V16" i="2"/>
  <c r="V18" i="2"/>
  <c r="V20" i="2"/>
  <c r="V22" i="2"/>
  <c r="V24" i="2"/>
  <c r="V7" i="2"/>
  <c r="V9" i="2"/>
  <c r="V11" i="2"/>
  <c r="V13" i="2"/>
  <c r="V15" i="2"/>
  <c r="V17" i="2"/>
  <c r="V19" i="2"/>
  <c r="V26" i="2"/>
  <c r="V28" i="2"/>
  <c r="V30" i="2"/>
  <c r="V21" i="2"/>
  <c r="V31" i="2"/>
  <c r="V27" i="2"/>
  <c r="V23" i="2"/>
  <c r="V25" i="2"/>
  <c r="V29" i="2"/>
  <c r="V5" i="2"/>
  <c r="W4" i="2"/>
  <c r="U33" i="2"/>
  <c r="U37" i="2" s="1"/>
  <c r="W18" i="2" a="1"/>
  <c r="W8" i="2" a="1"/>
  <c r="W17" i="2" a="1"/>
  <c r="W6" i="2" a="1"/>
  <c r="W16" i="2" a="1"/>
  <c r="W30" i="2" a="1"/>
  <c r="W28" i="2" a="1"/>
  <c r="W31" i="2" a="1"/>
  <c r="W26" i="2" a="1"/>
  <c r="W13" i="2" a="1"/>
  <c r="W12" i="2" a="1"/>
  <c r="W22" i="2" a="1"/>
  <c r="W10" i="2" a="1"/>
  <c r="W24" i="2" a="1"/>
  <c r="W29" i="2" a="1"/>
  <c r="W5" i="2" a="1"/>
  <c r="W15" i="2" a="1"/>
  <c r="W11" i="2" a="1"/>
  <c r="W9" i="2" a="1"/>
  <c r="W7" i="2" a="1"/>
  <c r="W27" i="2" a="1"/>
  <c r="W19" i="2" a="1"/>
  <c r="W20" i="2" a="1"/>
  <c r="W14" i="2" a="1"/>
  <c r="W23" i="2" a="1"/>
  <c r="W25" i="2" a="1"/>
  <c r="W21" i="2" a="1"/>
  <c r="W6" i="2" l="1"/>
  <c r="W8" i="2"/>
  <c r="W10" i="2"/>
  <c r="W12" i="2"/>
  <c r="W14" i="2"/>
  <c r="W16" i="2"/>
  <c r="W18" i="2"/>
  <c r="W20" i="2"/>
  <c r="W22" i="2"/>
  <c r="W24" i="2"/>
  <c r="W7" i="2"/>
  <c r="W9" i="2"/>
  <c r="W11" i="2"/>
  <c r="W13" i="2"/>
  <c r="W31" i="2"/>
  <c r="W30" i="2"/>
  <c r="W15" i="2"/>
  <c r="W29" i="2"/>
  <c r="W21" i="2"/>
  <c r="W26" i="2"/>
  <c r="W28" i="2"/>
  <c r="W17" i="2"/>
  <c r="W23" i="2"/>
  <c r="W19" i="2"/>
  <c r="W25" i="2"/>
  <c r="W27" i="2"/>
  <c r="W5" i="2"/>
  <c r="X4" i="2"/>
  <c r="V33" i="2"/>
  <c r="V37" i="2" s="1"/>
  <c r="X12" i="2" a="1"/>
  <c r="X13" i="2" a="1"/>
  <c r="X14" i="2" a="1"/>
  <c r="X5" i="2" a="1"/>
  <c r="X11" i="2" a="1"/>
  <c r="X19" i="2" a="1"/>
  <c r="X30" i="2" a="1"/>
  <c r="X29" i="2" a="1"/>
  <c r="X9" i="2" a="1"/>
  <c r="X16" i="2" a="1"/>
  <c r="X26" i="2" a="1"/>
  <c r="X28" i="2" a="1"/>
  <c r="X7" i="2" a="1"/>
  <c r="X31" i="2" a="1"/>
  <c r="X21" i="2" a="1"/>
  <c r="X27" i="2" a="1"/>
  <c r="X10" i="2" a="1"/>
  <c r="X22" i="2" a="1"/>
  <c r="X8" i="2" a="1"/>
  <c r="X6" i="2" a="1"/>
  <c r="X20" i="2" a="1"/>
  <c r="X18" i="2" a="1"/>
  <c r="X25" i="2" a="1"/>
  <c r="X17" i="2" a="1"/>
  <c r="X24" i="2" a="1"/>
  <c r="X23" i="2" a="1"/>
  <c r="X15" i="2" a="1"/>
  <c r="X6" i="2" l="1"/>
  <c r="X8" i="2"/>
  <c r="X10" i="2"/>
  <c r="X7" i="2"/>
  <c r="X9" i="2"/>
  <c r="X11" i="2"/>
  <c r="X12" i="2"/>
  <c r="X25" i="2"/>
  <c r="X27" i="2"/>
  <c r="X29" i="2"/>
  <c r="X31" i="2"/>
  <c r="X28" i="2"/>
  <c r="X13" i="2"/>
  <c r="X23" i="2"/>
  <c r="X15" i="2"/>
  <c r="X18" i="2"/>
  <c r="X24" i="2"/>
  <c r="X22" i="2"/>
  <c r="X21" i="2"/>
  <c r="X26" i="2"/>
  <c r="X30" i="2"/>
  <c r="X14" i="2"/>
  <c r="X17" i="2"/>
  <c r="X20" i="2"/>
  <c r="X16" i="2"/>
  <c r="X19" i="2"/>
  <c r="X5" i="2"/>
  <c r="Y4" i="2"/>
  <c r="W33" i="2"/>
  <c r="W37" i="2" s="1"/>
  <c r="Y11" i="2" a="1"/>
  <c r="Y29" i="2" a="1"/>
  <c r="Y17" i="2" a="1"/>
  <c r="Y5" i="2" a="1"/>
  <c r="Y9" i="2" a="1"/>
  <c r="Y23" i="2" a="1"/>
  <c r="Y14" i="2" a="1"/>
  <c r="Y28" i="2" a="1"/>
  <c r="Y7" i="2" a="1"/>
  <c r="Y31" i="2" a="1"/>
  <c r="Y30" i="2" a="1"/>
  <c r="Y27" i="2" a="1"/>
  <c r="Y12" i="2" a="1"/>
  <c r="Y25" i="2" a="1"/>
  <c r="Y21" i="2" a="1"/>
  <c r="Y16" i="2" a="1"/>
  <c r="Y22" i="2" a="1"/>
  <c r="Y6" i="2" a="1"/>
  <c r="Y26" i="2" a="1"/>
  <c r="Y8" i="2" a="1"/>
  <c r="Y20" i="2" a="1"/>
  <c r="Y18" i="2" a="1"/>
  <c r="Y13" i="2" a="1"/>
  <c r="Y24" i="2" a="1"/>
  <c r="Y15" i="2" a="1"/>
  <c r="Y10" i="2" a="1"/>
  <c r="Y19" i="2" a="1"/>
  <c r="Y6" i="2" l="1"/>
  <c r="Y8" i="2"/>
  <c r="Y10" i="2"/>
  <c r="Y12" i="2"/>
  <c r="Y7" i="2"/>
  <c r="Y9" i="2"/>
  <c r="Y11" i="2"/>
  <c r="Y19" i="2"/>
  <c r="Y28" i="2"/>
  <c r="Y25" i="2"/>
  <c r="Y27" i="2"/>
  <c r="Y29" i="2"/>
  <c r="Y31" i="2"/>
  <c r="Y13" i="2"/>
  <c r="Y15" i="2"/>
  <c r="Y18" i="2"/>
  <c r="Y24" i="2"/>
  <c r="Y22" i="2"/>
  <c r="Y21" i="2"/>
  <c r="Y30" i="2"/>
  <c r="Y14" i="2"/>
  <c r="Y17" i="2"/>
  <c r="Y26" i="2"/>
  <c r="Y20" i="2"/>
  <c r="Y16" i="2"/>
  <c r="Y23" i="2"/>
  <c r="Y5" i="2"/>
  <c r="Z4" i="2"/>
  <c r="X33" i="2"/>
  <c r="X37" i="2" s="1"/>
  <c r="Z19" i="2" a="1"/>
  <c r="Z5" i="2" a="1"/>
  <c r="Z29" i="2" a="1"/>
  <c r="Z8" i="2" a="1"/>
  <c r="Z17" i="2" a="1"/>
  <c r="Z26" i="2" a="1"/>
  <c r="Z27" i="2" a="1"/>
  <c r="Z6" i="2" a="1"/>
  <c r="Z15" i="2" a="1"/>
  <c r="Z22" i="2" a="1"/>
  <c r="Z25" i="2" a="1"/>
  <c r="Z14" i="2" a="1"/>
  <c r="Z13" i="2" a="1"/>
  <c r="Z7" i="2" a="1"/>
  <c r="Z31" i="2" a="1"/>
  <c r="Z23" i="2" a="1"/>
  <c r="Z11" i="2" a="1"/>
  <c r="Z9" i="2" a="1"/>
  <c r="Z12" i="2" a="1"/>
  <c r="Z10" i="2" a="1"/>
  <c r="Z20" i="2" a="1"/>
  <c r="Z28" i="2" a="1"/>
  <c r="Z18" i="2" a="1"/>
  <c r="Z30" i="2" a="1"/>
  <c r="Z16" i="2" a="1"/>
  <c r="Z24" i="2" a="1"/>
  <c r="Z21" i="2" a="1"/>
  <c r="Z7" i="2" l="1"/>
  <c r="Z9" i="2"/>
  <c r="Z11" i="2"/>
  <c r="Z13" i="2"/>
  <c r="Z15" i="2"/>
  <c r="Z17" i="2"/>
  <c r="Z19" i="2"/>
  <c r="Z21" i="2"/>
  <c r="Z23" i="2"/>
  <c r="Z6" i="2"/>
  <c r="Z8" i="2"/>
  <c r="Z10" i="2"/>
  <c r="Z12" i="2"/>
  <c r="Z14" i="2"/>
  <c r="Z16" i="2"/>
  <c r="Z18" i="2"/>
  <c r="Z20" i="2"/>
  <c r="Z28" i="2"/>
  <c r="Z31" i="2"/>
  <c r="Z25" i="2"/>
  <c r="Z27" i="2"/>
  <c r="Z29" i="2"/>
  <c r="Z24" i="2"/>
  <c r="Z30" i="2"/>
  <c r="Z22" i="2"/>
  <c r="Z26" i="2"/>
  <c r="Z5" i="2"/>
  <c r="AA4" i="2"/>
  <c r="Y33" i="2"/>
  <c r="Y37" i="2" s="1"/>
  <c r="AA19" i="2" a="1"/>
  <c r="AA10" i="2" a="1"/>
  <c r="AA27" i="2" a="1"/>
  <c r="AA5" i="2" a="1"/>
  <c r="AA17" i="2" a="1"/>
  <c r="AA26" i="2" a="1"/>
  <c r="AA25" i="2" a="1"/>
  <c r="AA20" i="2" a="1"/>
  <c r="AA15" i="2" a="1"/>
  <c r="AA7" i="2" a="1"/>
  <c r="AA18" i="2" a="1"/>
  <c r="AA8" i="2" a="1"/>
  <c r="AA13" i="2" a="1"/>
  <c r="AA29" i="2" a="1"/>
  <c r="AA23" i="2" a="1"/>
  <c r="AA30" i="2" a="1"/>
  <c r="AA31" i="2" a="1"/>
  <c r="AA16" i="2" a="1"/>
  <c r="AA21" i="2" a="1"/>
  <c r="AA12" i="2" a="1"/>
  <c r="AA6" i="2" a="1"/>
  <c r="AA9" i="2" a="1"/>
  <c r="AA28" i="2" a="1"/>
  <c r="AA24" i="2" a="1"/>
  <c r="AA14" i="2" a="1"/>
  <c r="AA11" i="2" a="1"/>
  <c r="AA22" i="2" a="1"/>
  <c r="AA7" i="2" l="1"/>
  <c r="AA9" i="2"/>
  <c r="AA11" i="2"/>
  <c r="AA13" i="2"/>
  <c r="AA15" i="2"/>
  <c r="AA17" i="2"/>
  <c r="AA19" i="2"/>
  <c r="AA21" i="2"/>
  <c r="AA23" i="2"/>
  <c r="AA6" i="2"/>
  <c r="AA8" i="2"/>
  <c r="AA10" i="2"/>
  <c r="AA12" i="2"/>
  <c r="AA14" i="2"/>
  <c r="AA16" i="2"/>
  <c r="AA28" i="2"/>
  <c r="AA31" i="2"/>
  <c r="AA30" i="2"/>
  <c r="AA29" i="2"/>
  <c r="AA18" i="2"/>
  <c r="AA25" i="2"/>
  <c r="AA27" i="2"/>
  <c r="AA22" i="2"/>
  <c r="AA24" i="2"/>
  <c r="AA20" i="2"/>
  <c r="AA26" i="2"/>
  <c r="AA5" i="2"/>
  <c r="Z33" i="2"/>
  <c r="Z37" i="2" s="1"/>
  <c r="AB4" i="2"/>
  <c r="D2" i="2" s="1"/>
  <c r="AB26" i="2" a="1"/>
  <c r="AB5" i="2" a="1"/>
  <c r="AB22" i="2" a="1"/>
  <c r="AB17" i="2" a="1"/>
  <c r="AB10" i="2" a="1"/>
  <c r="AB7" i="2" a="1"/>
  <c r="AB21" i="2" a="1"/>
  <c r="AB19" i="2" a="1"/>
  <c r="AB8" i="2" a="1"/>
  <c r="AB23" i="2" a="1"/>
  <c r="AB25" i="2" a="1"/>
  <c r="AB16" i="2" a="1"/>
  <c r="AB6" i="2" a="1"/>
  <c r="AB12" i="2" a="1"/>
  <c r="AB18" i="2" a="1"/>
  <c r="AB20" i="2" a="1"/>
  <c r="AB11" i="2" a="1"/>
  <c r="AB31" i="2" a="1"/>
  <c r="AB9" i="2" a="1"/>
  <c r="AB14" i="2" a="1"/>
  <c r="AB27" i="2" a="1"/>
  <c r="AB24" i="2" a="1"/>
  <c r="AB15" i="2" a="1"/>
  <c r="AB29" i="2" a="1"/>
  <c r="AB28" i="2" a="1"/>
  <c r="AB13" i="2" a="1"/>
  <c r="AB30" i="2" a="1"/>
  <c r="AB7" i="2" l="1"/>
  <c r="AB9" i="2"/>
  <c r="AB11" i="2"/>
  <c r="AB6" i="2"/>
  <c r="AB8" i="2"/>
  <c r="AB10" i="2"/>
  <c r="AB26" i="2"/>
  <c r="AB28" i="2"/>
  <c r="AB30" i="2"/>
  <c r="AB12" i="2"/>
  <c r="AB16" i="2"/>
  <c r="AB23" i="2"/>
  <c r="AB19" i="2"/>
  <c r="AB27" i="2"/>
  <c r="AB13" i="2"/>
  <c r="AB15" i="2"/>
  <c r="AB29" i="2"/>
  <c r="AB31" i="2"/>
  <c r="AB18" i="2"/>
  <c r="AB25" i="2"/>
  <c r="AB21" i="2"/>
  <c r="AB22" i="2"/>
  <c r="AB24" i="2"/>
  <c r="AB14" i="2"/>
  <c r="AB17" i="2"/>
  <c r="AB20" i="2"/>
  <c r="AB5" i="2"/>
  <c r="AA33" i="2"/>
  <c r="AA37" i="2" s="1"/>
  <c r="AB33" i="2" l="1"/>
  <c r="AD33" i="2" s="1"/>
  <c r="AB37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<sst xmlns="http://schemas.openxmlformats.org/spreadsheetml/2006/main" count="34" uniqueCount="34">
  <si>
    <t>start</t>
  </si>
  <si>
    <t>end</t>
  </si>
  <si>
    <t>current</t>
  </si>
  <si>
    <t>result</t>
  </si>
  <si>
    <t>expected</t>
  </si>
  <si>
    <t>Scenario</t>
  </si>
  <si>
    <t>Before start</t>
  </si>
  <si>
    <t>After start</t>
  </si>
  <si>
    <t>day of start</t>
  </si>
  <si>
    <t>day of end</t>
  </si>
  <si>
    <t>end date in current period</t>
  </si>
  <si>
    <t>start date in current period</t>
  </si>
  <si>
    <t>Contractor</t>
  </si>
  <si>
    <t>Rate</t>
  </si>
  <si>
    <t>Start Date</t>
  </si>
  <si>
    <t>End Date</t>
  </si>
  <si>
    <t>hours_per_month</t>
  </si>
  <si>
    <t>John Smith</t>
  </si>
  <si>
    <t>Emma Johnson</t>
  </si>
  <si>
    <t>Michael Williams</t>
  </si>
  <si>
    <t>Sophia Jones</t>
  </si>
  <si>
    <t>William Brown</t>
  </si>
  <si>
    <t>Olivia Davis</t>
  </si>
  <si>
    <t>James Miller</t>
  </si>
  <si>
    <t>Ava Wilson</t>
  </si>
  <si>
    <t>Alexander Moore</t>
  </si>
  <si>
    <t>Charlotte Taylor</t>
  </si>
  <si>
    <t>Forecast</t>
  </si>
  <si>
    <t>Actual</t>
  </si>
  <si>
    <t>Cumulative Forecast</t>
  </si>
  <si>
    <t>Cumulative Actual</t>
  </si>
  <si>
    <t>Over/Under</t>
  </si>
  <si>
    <t>Custom Excel Function - Given a start date, end date, and a currentPeriod that falls in between, it calculates the percentage of days contained within that period (github.com)</t>
  </si>
  <si>
    <t>** Uses the PercentOfCurrentPeriod Function to determine how many days were in scope for a given period.  Available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</si>
</sst>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 style="medium">
        <color rgb="FF00B050"/>
      </left>
      <right style="thin">
        <color indexed="64"/>
      </right>
      <top style="medium">
        <color rgb="FF00B05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B050"/>
      </top>
      <bottom style="thin">
        <color indexed="64"/>
      </bottom>
      <diagonal/>
    </border>
    <border>
      <left style="thin">
        <color indexed="64"/>
      </left>
      <right style="medium">
        <color rgb="FF00B050"/>
      </right>
      <top style="medium">
        <color rgb="FF00B050"/>
      </top>
      <bottom style="thin">
        <color indexed="64"/>
      </bottom>
      <diagonal/>
    </border>
    <border>
      <left style="medium">
        <color rgb="FF00B05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B050"/>
      </right>
      <top style="thin">
        <color indexed="64"/>
      </top>
      <bottom style="thin">
        <color indexed="64"/>
      </bottom>
      <diagonal/>
    </border>
    <border>
      <left style="medium">
        <color rgb="FF00B050"/>
      </left>
      <right style="thin">
        <color indexed="64"/>
      </right>
      <top style="thin">
        <color indexed="64"/>
      </top>
      <bottom style="medium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B050"/>
      </bottom>
      <diagonal/>
    </border>
    <border>
      <left style="thin">
        <color indexed="64"/>
      </left>
      <right style="medium">
        <color rgb="FF00B050"/>
      </right>
      <top style="thin">
        <color indexed="64"/>
      </top>
      <bottom style="medium">
        <color rgb="FF00B05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1" xfId="0" applyBorder="1"/>
    <xf numFmtId="14" fontId="0" fillId="0" borderId="1" xfId="0" applyNumberFormat="1" applyBorder="1"/>
    <xf numFmtId="6" fontId="0" fillId="0" borderId="1" xfId="0" applyNumberFormat="1" applyBorder="1"/>
    <xf numFmtId="8" fontId="0" fillId="0" borderId="1" xfId="0" applyNumberFormat="1" applyBorder="1"/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8" fontId="3" fillId="2" borderId="2" xfId="0" applyNumberFormat="1" applyFont="1" applyFill="1" applyBorder="1"/>
    <xf numFmtId="0" fontId="1" fillId="0" borderId="0" xfId="0" applyFont="1" applyAlignment="1">
      <alignment horizontal="right"/>
    </xf>
    <xf numFmtId="44" fontId="0" fillId="0" borderId="0" xfId="1" applyFont="1"/>
    <xf numFmtId="44" fontId="0" fillId="0" borderId="0" xfId="0" applyNumberFormat="1"/>
    <xf numFmtId="0" fontId="4" fillId="0" borderId="0" xfId="0" applyFont="1"/>
    <xf numFmtId="44" fontId="0" fillId="0" borderId="3" xfId="1" applyFont="1" applyBorder="1"/>
    <xf numFmtId="44" fontId="0" fillId="0" borderId="4" xfId="1" applyFont="1" applyBorder="1"/>
    <xf numFmtId="44" fontId="0" fillId="0" borderId="5" xfId="1" applyFont="1" applyBorder="1"/>
    <xf numFmtId="0" fontId="0" fillId="0" borderId="6" xfId="0" applyBorder="1"/>
    <xf numFmtId="0" fontId="1" fillId="0" borderId="7" xfId="0" applyFont="1" applyBorder="1" applyAlignment="1">
      <alignment horizontal="left"/>
    </xf>
    <xf numFmtId="0" fontId="1" fillId="0" borderId="7" xfId="0" applyFont="1" applyBorder="1" applyAlignment="1">
      <alignment horizontal="center"/>
    </xf>
    <xf numFmtId="164" fontId="0" fillId="0" borderId="8" xfId="0" applyNumberFormat="1" applyBorder="1"/>
    <xf numFmtId="0" fontId="0" fillId="0" borderId="0" xfId="0" applyAlignment="1">
      <alignment horizontal="right"/>
    </xf>
    <xf numFmtId="44" fontId="0" fillId="0" borderId="1" xfId="0" applyNumberFormat="1" applyBorder="1"/>
    <xf numFmtId="0" fontId="0" fillId="0" borderId="9" xfId="0" applyBorder="1"/>
    <xf numFmtId="6" fontId="0" fillId="0" borderId="10" xfId="0" applyNumberFormat="1" applyBorder="1"/>
    <xf numFmtId="14" fontId="0" fillId="0" borderId="10" xfId="0" applyNumberFormat="1" applyBorder="1"/>
    <xf numFmtId="14" fontId="0" fillId="0" borderId="11" xfId="0" applyNumberFormat="1" applyBorder="1"/>
    <xf numFmtId="0" fontId="0" fillId="0" borderId="12" xfId="0" applyBorder="1"/>
    <xf numFmtId="14" fontId="0" fillId="0" borderId="13" xfId="0" applyNumberFormat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44" fontId="0" fillId="0" borderId="17" xfId="0" applyNumberFormat="1" applyBorder="1"/>
    <xf numFmtId="44" fontId="0" fillId="0" borderId="18" xfId="0" applyNumberFormat="1" applyBorder="1"/>
    <xf numFmtId="44" fontId="0" fillId="0" borderId="19" xfId="0" applyNumberFormat="1" applyBorder="1"/>
    <xf numFmtId="44" fontId="0" fillId="0" borderId="20" xfId="0" applyNumberFormat="1" applyBorder="1"/>
    <xf numFmtId="44" fontId="0" fillId="0" borderId="21" xfId="0" applyNumberFormat="1" applyBorder="1"/>
    <xf numFmtId="44" fontId="0" fillId="0" borderId="22" xfId="0" applyNumberFormat="1" applyBorder="1"/>
    <xf numFmtId="0" fontId="5" fillId="0" borderId="0" xfId="2"/>
  </cellXfs>
  <cellStyles count="3">
    <cellStyle name="Currency" xfId="1" builtinId="4"/>
    <cellStyle name="Hyperlink" xfId="2" builtinId="8"/>
    <cellStyle name="Normal" xfId="0" builtinId="0"/>
  </cellStyles>
  <dxfs count="2">
    <dxf>
      <fill>
        <patternFill>
          <bgColor rgb="FFFF0000"/>
        </patternFill>
      </fill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171450</xdr:colOff>
      <xdr:row>0</xdr:row>
      <xdr:rowOff>0</xdr:rowOff>
    </xdr:from>
    <xdr:to>
      <xdr:col>16</xdr:col>
      <xdr:colOff>771525</xdr:colOff>
      <xdr:row>2</xdr:row>
      <xdr:rowOff>180975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2CE7848-1534-4433-D185-1F155B10DECE}"/>
            </a:ext>
          </a:extLst>
        </xdr:cNvPr>
        <xdr:cNvSpPr/>
      </xdr:nvSpPr>
      <xdr:spPr>
        <a:xfrm>
          <a:off x="6038850" y="0"/>
          <a:ext cx="11268075" cy="5905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Instructions:  Fill out the contractors,</a:t>
          </a:r>
          <a:r>
            <a:rPr lang="en-US" sz="1400" b="1" baseline="0"/>
            <a:t> rates, start dates, and end dates and the grid will calculate itself.  You can also edit the "Actual" values below to track actual vs. the forecast.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gist.github.com/densom/011ce175522c2edbcce680adaf46696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B213A-EDB9-4433-8CB2-31ACE218F58F}">
  <sheetPr codeName="Sheet2"/>
  <dimension ref="A1:AD44"/>
  <sheetViews>
    <sheetView tabSelected="1" zoomScaleNormal="100" workbookViewId="0">
      <selection activeCell="F5" sqref="F5"/>
    </sheetView>
  </sheetViews>
  <sheetFormatPr defaultRowHeight="15" x14ac:dyDescent="0.25"/>
  <cols>
    <col min="1" max="1" width="19.5703125" customWidth="1"/>
    <col min="3" max="3" width="20.5703125" customWidth="1"/>
    <col min="4" max="4" width="19.28515625" bestFit="1" customWidth="1"/>
    <col min="5" max="5" width="3.42578125" customWidth="1"/>
    <col min="6" max="28" width="16" customWidth="1"/>
    <col min="30" max="30" width="21.5703125" customWidth="1"/>
  </cols>
  <sheetData>
    <row r="1" spans="1:28" ht="15.75" thickBot="1" x14ac:dyDescent="0.3"/>
    <row r="2" spans="1:28" ht="16.5" thickBot="1" x14ac:dyDescent="0.3">
      <c r="A2" t="s">
        <v>16</v>
      </c>
      <c r="B2" s="21">
        <f>(40*52)/12</f>
        <v>173.33333333333334</v>
      </c>
      <c r="D2" s="14" t="str">
        <f>IF(DATEDIF(MIN(C5:C31),MAX(D5:D31),"m")&gt;COUNT(F4:AB4),"Date duration is greater than the displayed number of periods","")</f>
        <v/>
      </c>
    </row>
    <row r="4" spans="1:28" s="9" customFormat="1" ht="15.75" thickBot="1" x14ac:dyDescent="0.3">
      <c r="A4" s="19" t="s">
        <v>12</v>
      </c>
      <c r="B4" s="20" t="s">
        <v>13</v>
      </c>
      <c r="C4" s="20" t="s">
        <v>14</v>
      </c>
      <c r="D4" s="20" t="s">
        <v>15</v>
      </c>
      <c r="E4" s="7"/>
      <c r="F4" s="8">
        <f>DATE(YEAR(MIN($C$5:$C$31)),MONTH(MIN($C$5:$C$31)),1)</f>
        <v>45108</v>
      </c>
      <c r="G4" s="8">
        <f>EDATE(F4,1)</f>
        <v>45139</v>
      </c>
      <c r="H4" s="8">
        <f t="shared" ref="H4:AB4" si="0">EDATE(G4,1)</f>
        <v>45170</v>
      </c>
      <c r="I4" s="8">
        <f t="shared" si="0"/>
        <v>45200</v>
      </c>
      <c r="J4" s="8">
        <f t="shared" si="0"/>
        <v>45231</v>
      </c>
      <c r="K4" s="8">
        <f t="shared" si="0"/>
        <v>45261</v>
      </c>
      <c r="L4" s="8">
        <f t="shared" si="0"/>
        <v>45292</v>
      </c>
      <c r="M4" s="8">
        <f t="shared" si="0"/>
        <v>45323</v>
      </c>
      <c r="N4" s="8">
        <f t="shared" si="0"/>
        <v>45352</v>
      </c>
      <c r="O4" s="8">
        <f t="shared" si="0"/>
        <v>45383</v>
      </c>
      <c r="P4" s="8">
        <f t="shared" si="0"/>
        <v>45413</v>
      </c>
      <c r="Q4" s="8">
        <f t="shared" si="0"/>
        <v>45444</v>
      </c>
      <c r="R4" s="8">
        <f t="shared" si="0"/>
        <v>45474</v>
      </c>
      <c r="S4" s="8">
        <f t="shared" si="0"/>
        <v>45505</v>
      </c>
      <c r="T4" s="8">
        <f t="shared" si="0"/>
        <v>45536</v>
      </c>
      <c r="U4" s="8">
        <f t="shared" si="0"/>
        <v>45566</v>
      </c>
      <c r="V4" s="8">
        <f t="shared" si="0"/>
        <v>45597</v>
      </c>
      <c r="W4" s="8">
        <f t="shared" si="0"/>
        <v>45627</v>
      </c>
      <c r="X4" s="8">
        <f t="shared" si="0"/>
        <v>45658</v>
      </c>
      <c r="Y4" s="8">
        <f t="shared" si="0"/>
        <v>45689</v>
      </c>
      <c r="Z4" s="8">
        <f t="shared" si="0"/>
        <v>45717</v>
      </c>
      <c r="AA4" s="8">
        <f t="shared" si="0"/>
        <v>45748</v>
      </c>
      <c r="AB4" s="8">
        <f t="shared" si="0"/>
        <v>45778</v>
      </c>
    </row>
    <row r="5" spans="1:28" x14ac:dyDescent="0.25">
      <c r="A5" s="24" t="s">
        <v>17</v>
      </c>
      <c r="B5" s="25">
        <v>50</v>
      </c>
      <c r="C5" s="26">
        <v>45108</v>
      </c>
      <c r="D5" s="27">
        <f>C5+40</f>
        <v>45148</v>
      </c>
      <c r="E5" s="18"/>
      <c r="F5" s="6" cm="1">
        <f t="array" ref="F5">PercentageOfCurrentPeriod($C5,$D5,F$4)*$B5*hours_per_month</f>
        <v>8666.6666666666679</v>
      </c>
      <c r="G5" s="6" cm="1">
        <f t="array" ref="G5">PercentageOfCurrentPeriod($C5,$D5,G$4)*$B5*hours_per_month</f>
        <v>2795.6989247311831</v>
      </c>
      <c r="H5" s="6" cm="1">
        <f t="array" ref="H5">PercentageOfCurrentPeriod($C5,$D5,H$4)*$B5*hours_per_month</f>
        <v>0</v>
      </c>
      <c r="I5" s="6" cm="1">
        <f t="array" ref="I5">PercentageOfCurrentPeriod($C5,$D5,I$4)*$B5*hours_per_month</f>
        <v>0</v>
      </c>
      <c r="J5" s="6" cm="1">
        <f t="array" ref="J5">PercentageOfCurrentPeriod($C5,$D5,J$4)*$B5*hours_per_month</f>
        <v>0</v>
      </c>
      <c r="K5" s="6" cm="1">
        <f t="array" ref="K5">PercentageOfCurrentPeriod($C5,$D5,K$4)*$B5*hours_per_month</f>
        <v>0</v>
      </c>
      <c r="L5" s="6" cm="1">
        <f t="array" ref="L5">PercentageOfCurrentPeriod($C5,$D5,L$4)*$B5*hours_per_month</f>
        <v>0</v>
      </c>
      <c r="M5" s="6" cm="1">
        <f t="array" ref="M5">PercentageOfCurrentPeriod($C5,$D5,M$4)*$B5*hours_per_month</f>
        <v>0</v>
      </c>
      <c r="N5" s="6" cm="1">
        <f t="array" ref="N5">PercentageOfCurrentPeriod($C5,$D5,N$4)*$B5*hours_per_month</f>
        <v>0</v>
      </c>
      <c r="O5" s="6" cm="1">
        <f t="array" ref="O5">PercentageOfCurrentPeriod($C5,$D5,O$4)*$B5*hours_per_month</f>
        <v>0</v>
      </c>
      <c r="P5" s="6" cm="1">
        <f t="array" ref="P5">PercentageOfCurrentPeriod($C5,$D5,P$4)*$B5*hours_per_month</f>
        <v>0</v>
      </c>
      <c r="Q5" s="6" cm="1">
        <f t="array" ref="Q5">PercentageOfCurrentPeriod($C5,$D5,Q$4)*$B5*hours_per_month</f>
        <v>0</v>
      </c>
      <c r="R5" s="6" cm="1">
        <f t="array" ref="R5">PercentageOfCurrentPeriod($C5,$D5,R$4)*$B5*hours_per_month</f>
        <v>0</v>
      </c>
      <c r="S5" s="6" cm="1">
        <f t="array" ref="S5">PercentageOfCurrentPeriod($C5,$D5,S$4)*$B5*hours_per_month</f>
        <v>0</v>
      </c>
      <c r="T5" s="6" cm="1">
        <f t="array" ref="T5">PercentageOfCurrentPeriod($C5,$D5,T$4)*$B5*hours_per_month</f>
        <v>0</v>
      </c>
      <c r="U5" s="6" cm="1">
        <f t="array" ref="U5">PercentageOfCurrentPeriod($C5,$D5,U$4)*$B5*hours_per_month</f>
        <v>0</v>
      </c>
      <c r="V5" s="6" cm="1">
        <f t="array" ref="V5">PercentageOfCurrentPeriod($C5,$D5,V$4)*$B5*hours_per_month</f>
        <v>0</v>
      </c>
      <c r="W5" s="6" cm="1">
        <f t="array" ref="W5">PercentageOfCurrentPeriod($C5,$D5,W$4)*$B5*hours_per_month</f>
        <v>0</v>
      </c>
      <c r="X5" s="6" cm="1">
        <f t="array" ref="X5">PercentageOfCurrentPeriod($C5,$D5,X$4)*$B5*hours_per_month</f>
        <v>0</v>
      </c>
      <c r="Y5" s="6" cm="1">
        <f t="array" ref="Y5">PercentageOfCurrentPeriod($C5,$D5,Y$4)*$B5*hours_per_month</f>
        <v>0</v>
      </c>
      <c r="Z5" s="6" cm="1">
        <f t="array" ref="Z5">PercentageOfCurrentPeriod($C5,$D5,Z$4)*$B5*hours_per_month</f>
        <v>0</v>
      </c>
      <c r="AA5" s="6" cm="1">
        <f t="array" ref="AA5">PercentageOfCurrentPeriod($C5,$D5,AA$4)*$B5*hours_per_month</f>
        <v>0</v>
      </c>
      <c r="AB5" s="6" cm="1">
        <f t="array" ref="AB5">PercentageOfCurrentPeriod($C5,$D5,AB$4)*$B5*hours_per_month</f>
        <v>0</v>
      </c>
    </row>
    <row r="6" spans="1:28" x14ac:dyDescent="0.25">
      <c r="A6" s="28" t="s">
        <v>18</v>
      </c>
      <c r="B6" s="5">
        <v>75</v>
      </c>
      <c r="C6" s="4">
        <v>45352</v>
      </c>
      <c r="D6" s="29">
        <f>C6+60</f>
        <v>45412</v>
      </c>
      <c r="E6" s="18"/>
      <c r="F6" s="6" cm="1">
        <f t="array" ref="F6">PercentageOfCurrentPeriod($C6,$D6,F$4)*$B6*hours_per_month</f>
        <v>0</v>
      </c>
      <c r="G6" s="6" cm="1">
        <f t="array" ref="G6">PercentageOfCurrentPeriod($C6,$D6,G$4)*$B6*hours_per_month</f>
        <v>0</v>
      </c>
      <c r="H6" s="6" cm="1">
        <f t="array" ref="H6">PercentageOfCurrentPeriod($C6,$D6,H$4)*$B6*hours_per_month</f>
        <v>0</v>
      </c>
      <c r="I6" s="6" cm="1">
        <f t="array" ref="I6">PercentageOfCurrentPeriod($C6,$D6,I$4)*$B6*hours_per_month</f>
        <v>0</v>
      </c>
      <c r="J6" s="6" cm="1">
        <f t="array" ref="J6">PercentageOfCurrentPeriod($C6,$D6,J$4)*$B6*hours_per_month</f>
        <v>0</v>
      </c>
      <c r="K6" s="6" cm="1">
        <f t="array" ref="K6">PercentageOfCurrentPeriod($C6,$D6,K$4)*$B6*hours_per_month</f>
        <v>0</v>
      </c>
      <c r="L6" s="6" cm="1">
        <f t="array" ref="L6">PercentageOfCurrentPeriod($C6,$D6,L$4)*$B6*hours_per_month</f>
        <v>0</v>
      </c>
      <c r="M6" s="6" cm="1">
        <f t="array" ref="M6">PercentageOfCurrentPeriod($C6,$D6,M$4)*$B6*hours_per_month</f>
        <v>0</v>
      </c>
      <c r="N6" s="6" cm="1">
        <f t="array" ref="N6">PercentageOfCurrentPeriod($C6,$D6,N$4)*$B6*hours_per_month</f>
        <v>13000</v>
      </c>
      <c r="O6" s="6" cm="1">
        <f t="array" ref="O6">PercentageOfCurrentPeriod($C6,$D6,O$4)*$B6*hours_per_month</f>
        <v>13000</v>
      </c>
      <c r="P6" s="6" cm="1">
        <f t="array" ref="P6">PercentageOfCurrentPeriod($C6,$D6,P$4)*$B6*hours_per_month</f>
        <v>0</v>
      </c>
      <c r="Q6" s="6" cm="1">
        <f t="array" ref="Q6">PercentageOfCurrentPeriod($C6,$D6,Q$4)*$B6*hours_per_month</f>
        <v>0</v>
      </c>
      <c r="R6" s="6" cm="1">
        <f t="array" ref="R6">PercentageOfCurrentPeriod($C6,$D6,R$4)*$B6*hours_per_month</f>
        <v>0</v>
      </c>
      <c r="S6" s="6" cm="1">
        <f t="array" ref="S6">PercentageOfCurrentPeriod($C6,$D6,S$4)*$B6*hours_per_month</f>
        <v>0</v>
      </c>
      <c r="T6" s="6" cm="1">
        <f t="array" ref="T6">PercentageOfCurrentPeriod($C6,$D6,T$4)*$B6*hours_per_month</f>
        <v>0</v>
      </c>
      <c r="U6" s="6" cm="1">
        <f t="array" ref="U6">PercentageOfCurrentPeriod($C6,$D6,U$4)*$B6*hours_per_month</f>
        <v>0</v>
      </c>
      <c r="V6" s="6" cm="1">
        <f t="array" ref="V6">PercentageOfCurrentPeriod($C6,$D6,V$4)*$B6*hours_per_month</f>
        <v>0</v>
      </c>
      <c r="W6" s="6" cm="1">
        <f t="array" ref="W6">PercentageOfCurrentPeriod($C6,$D6,W$4)*$B6*hours_per_month</f>
        <v>0</v>
      </c>
      <c r="X6" s="6" cm="1">
        <f t="array" ref="X6">PercentageOfCurrentPeriod($C6,$D6,X$4)*$B6*hours_per_month</f>
        <v>0</v>
      </c>
      <c r="Y6" s="6" cm="1">
        <f t="array" ref="Y6">PercentageOfCurrentPeriod($C6,$D6,Y$4)*$B6*hours_per_month</f>
        <v>0</v>
      </c>
      <c r="Z6" s="6" cm="1">
        <f t="array" ref="Z6">PercentageOfCurrentPeriod($C6,$D6,Z$4)*$B6*hours_per_month</f>
        <v>0</v>
      </c>
      <c r="AA6" s="6" cm="1">
        <f t="array" ref="AA6">PercentageOfCurrentPeriod($C6,$D6,AA$4)*$B6*hours_per_month</f>
        <v>0</v>
      </c>
      <c r="AB6" s="6" cm="1">
        <f t="array" ref="AB6">PercentageOfCurrentPeriod($C6,$D6,AB$4)*$B6*hours_per_month</f>
        <v>0</v>
      </c>
    </row>
    <row r="7" spans="1:28" x14ac:dyDescent="0.25">
      <c r="A7" s="28" t="s">
        <v>19</v>
      </c>
      <c r="B7" s="5">
        <v>100</v>
      </c>
      <c r="C7" s="4">
        <v>45383</v>
      </c>
      <c r="D7" s="29">
        <f>C7+30</f>
        <v>45413</v>
      </c>
      <c r="E7" s="18"/>
      <c r="F7" s="6" cm="1">
        <f t="array" ref="F7">PercentageOfCurrentPeriod($C7,$D7,F$4)*$B7*hours_per_month</f>
        <v>0</v>
      </c>
      <c r="G7" s="6" cm="1">
        <f t="array" ref="G7">PercentageOfCurrentPeriod($C7,$D7,G$4)*$B7*hours_per_month</f>
        <v>0</v>
      </c>
      <c r="H7" s="6" cm="1">
        <f t="array" ref="H7">PercentageOfCurrentPeriod($C7,$D7,H$4)*$B7*hours_per_month</f>
        <v>0</v>
      </c>
      <c r="I7" s="6" cm="1">
        <f t="array" ref="I7">PercentageOfCurrentPeriod($C7,$D7,I$4)*$B7*hours_per_month</f>
        <v>0</v>
      </c>
      <c r="J7" s="6" cm="1">
        <f t="array" ref="J7">PercentageOfCurrentPeriod($C7,$D7,J$4)*$B7*hours_per_month</f>
        <v>0</v>
      </c>
      <c r="K7" s="6" cm="1">
        <f t="array" ref="K7">PercentageOfCurrentPeriod($C7,$D7,K$4)*$B7*hours_per_month</f>
        <v>0</v>
      </c>
      <c r="L7" s="6" cm="1">
        <f t="array" ref="L7">PercentageOfCurrentPeriod($C7,$D7,L$4)*$B7*hours_per_month</f>
        <v>0</v>
      </c>
      <c r="M7" s="6" cm="1">
        <f t="array" ref="M7">PercentageOfCurrentPeriod($C7,$D7,M$4)*$B7*hours_per_month</f>
        <v>0</v>
      </c>
      <c r="N7" s="6" cm="1">
        <f t="array" ref="N7">PercentageOfCurrentPeriod($C7,$D7,N$4)*$B7*hours_per_month</f>
        <v>0</v>
      </c>
      <c r="O7" s="6" cm="1">
        <f t="array" ref="O7">PercentageOfCurrentPeriod($C7,$D7,O$4)*$B7*hours_per_month</f>
        <v>17333.333333333336</v>
      </c>
      <c r="P7" s="6" cm="1">
        <f t="array" ref="P7">PercentageOfCurrentPeriod($C7,$D7,P$4)*$B7*hours_per_month</f>
        <v>559.13978494623655</v>
      </c>
      <c r="Q7" s="6" cm="1">
        <f t="array" ref="Q7">PercentageOfCurrentPeriod($C7,$D7,Q$4)*$B7*hours_per_month</f>
        <v>0</v>
      </c>
      <c r="R7" s="6" cm="1">
        <f t="array" ref="R7">PercentageOfCurrentPeriod($C7,$D7,R$4)*$B7*hours_per_month</f>
        <v>0</v>
      </c>
      <c r="S7" s="6" cm="1">
        <f t="array" ref="S7">PercentageOfCurrentPeriod($C7,$D7,S$4)*$B7*hours_per_month</f>
        <v>0</v>
      </c>
      <c r="T7" s="6" cm="1">
        <f t="array" ref="T7">PercentageOfCurrentPeriod($C7,$D7,T$4)*$B7*hours_per_month</f>
        <v>0</v>
      </c>
      <c r="U7" s="6" cm="1">
        <f t="array" ref="U7">PercentageOfCurrentPeriod($C7,$D7,U$4)*$B7*hours_per_month</f>
        <v>0</v>
      </c>
      <c r="V7" s="6" cm="1">
        <f t="array" ref="V7">PercentageOfCurrentPeriod($C7,$D7,V$4)*$B7*hours_per_month</f>
        <v>0</v>
      </c>
      <c r="W7" s="6" cm="1">
        <f t="array" ref="W7">PercentageOfCurrentPeriod($C7,$D7,W$4)*$B7*hours_per_month</f>
        <v>0</v>
      </c>
      <c r="X7" s="6" cm="1">
        <f t="array" ref="X7">PercentageOfCurrentPeriod($C7,$D7,X$4)*$B7*hours_per_month</f>
        <v>0</v>
      </c>
      <c r="Y7" s="6" cm="1">
        <f t="array" ref="Y7">PercentageOfCurrentPeriod($C7,$D7,Y$4)*$B7*hours_per_month</f>
        <v>0</v>
      </c>
      <c r="Z7" s="6" cm="1">
        <f t="array" ref="Z7">PercentageOfCurrentPeriod($C7,$D7,Z$4)*$B7*hours_per_month</f>
        <v>0</v>
      </c>
      <c r="AA7" s="6" cm="1">
        <f t="array" ref="AA7">PercentageOfCurrentPeriod($C7,$D7,AA$4)*$B7*hours_per_month</f>
        <v>0</v>
      </c>
      <c r="AB7" s="6" cm="1">
        <f t="array" ref="AB7">PercentageOfCurrentPeriod($C7,$D7,AB$4)*$B7*hours_per_month</f>
        <v>0</v>
      </c>
    </row>
    <row r="8" spans="1:28" x14ac:dyDescent="0.25">
      <c r="A8" s="28" t="s">
        <v>20</v>
      </c>
      <c r="B8" s="5">
        <v>150</v>
      </c>
      <c r="C8" s="4">
        <v>45383</v>
      </c>
      <c r="D8" s="29">
        <f>C8+90</f>
        <v>45473</v>
      </c>
      <c r="E8" s="18"/>
      <c r="F8" s="6" cm="1">
        <f t="array" ref="F8">PercentageOfCurrentPeriod($C8,$D8,F$4)*$B8*hours_per_month</f>
        <v>0</v>
      </c>
      <c r="G8" s="6" cm="1">
        <f t="array" ref="G8">PercentageOfCurrentPeriod($C8,$D8,G$4)*$B8*hours_per_month</f>
        <v>0</v>
      </c>
      <c r="H8" s="6" cm="1">
        <f t="array" ref="H8">PercentageOfCurrentPeriod($C8,$D8,H$4)*$B8*hours_per_month</f>
        <v>0</v>
      </c>
      <c r="I8" s="6" cm="1">
        <f t="array" ref="I8">PercentageOfCurrentPeriod($C8,$D8,I$4)*$B8*hours_per_month</f>
        <v>0</v>
      </c>
      <c r="J8" s="6" cm="1">
        <f t="array" ref="J8">PercentageOfCurrentPeriod($C8,$D8,J$4)*$B8*hours_per_month</f>
        <v>0</v>
      </c>
      <c r="K8" s="6" cm="1">
        <f t="array" ref="K8">PercentageOfCurrentPeriod($C8,$D8,K$4)*$B8*hours_per_month</f>
        <v>0</v>
      </c>
      <c r="L8" s="6" cm="1">
        <f t="array" ref="L8">PercentageOfCurrentPeriod($C8,$D8,L$4)*$B8*hours_per_month</f>
        <v>0</v>
      </c>
      <c r="M8" s="6" cm="1">
        <f t="array" ref="M8">PercentageOfCurrentPeriod($C8,$D8,M$4)*$B8*hours_per_month</f>
        <v>0</v>
      </c>
      <c r="N8" s="6" cm="1">
        <f t="array" ref="N8">PercentageOfCurrentPeriod($C8,$D8,N$4)*$B8*hours_per_month</f>
        <v>0</v>
      </c>
      <c r="O8" s="6" cm="1">
        <f t="array" ref="O8">PercentageOfCurrentPeriod($C8,$D8,O$4)*$B8*hours_per_month</f>
        <v>26000</v>
      </c>
      <c r="P8" s="6" cm="1">
        <f t="array" ref="P8">PercentageOfCurrentPeriod($C8,$D8,P$4)*$B8*hours_per_month</f>
        <v>26000</v>
      </c>
      <c r="Q8" s="6" cm="1">
        <f t="array" ref="Q8">PercentageOfCurrentPeriod($C8,$D8,Q$4)*$B8*hours_per_month</f>
        <v>26000</v>
      </c>
      <c r="R8" s="6" cm="1">
        <f t="array" ref="R8">PercentageOfCurrentPeriod($C8,$D8,R$4)*$B8*hours_per_month</f>
        <v>0</v>
      </c>
      <c r="S8" s="6" cm="1">
        <f t="array" ref="S8">PercentageOfCurrentPeriod($C8,$D8,S$4)*$B8*hours_per_month</f>
        <v>0</v>
      </c>
      <c r="T8" s="6" cm="1">
        <f t="array" ref="T8">PercentageOfCurrentPeriod($C8,$D8,T$4)*$B8*hours_per_month</f>
        <v>0</v>
      </c>
      <c r="U8" s="6" cm="1">
        <f t="array" ref="U8">PercentageOfCurrentPeriod($C8,$D8,U$4)*$B8*hours_per_month</f>
        <v>0</v>
      </c>
      <c r="V8" s="6" cm="1">
        <f t="array" ref="V8">PercentageOfCurrentPeriod($C8,$D8,V$4)*$B8*hours_per_month</f>
        <v>0</v>
      </c>
      <c r="W8" s="6" cm="1">
        <f t="array" ref="W8">PercentageOfCurrentPeriod($C8,$D8,W$4)*$B8*hours_per_month</f>
        <v>0</v>
      </c>
      <c r="X8" s="6" cm="1">
        <f t="array" ref="X8">PercentageOfCurrentPeriod($C8,$D8,X$4)*$B8*hours_per_month</f>
        <v>0</v>
      </c>
      <c r="Y8" s="6" cm="1">
        <f t="array" ref="Y8">PercentageOfCurrentPeriod($C8,$D8,Y$4)*$B8*hours_per_month</f>
        <v>0</v>
      </c>
      <c r="Z8" s="6" cm="1">
        <f t="array" ref="Z8">PercentageOfCurrentPeriod($C8,$D8,Z$4)*$B8*hours_per_month</f>
        <v>0</v>
      </c>
      <c r="AA8" s="6" cm="1">
        <f t="array" ref="AA8">PercentageOfCurrentPeriod($C8,$D8,AA$4)*$B8*hours_per_month</f>
        <v>0</v>
      </c>
      <c r="AB8" s="6" cm="1">
        <f t="array" ref="AB8">PercentageOfCurrentPeriod($C8,$D8,AB$4)*$B8*hours_per_month</f>
        <v>0</v>
      </c>
    </row>
    <row r="9" spans="1:28" x14ac:dyDescent="0.25">
      <c r="A9" s="28" t="s">
        <v>21</v>
      </c>
      <c r="B9" s="5">
        <v>200</v>
      </c>
      <c r="C9" s="4">
        <v>45464</v>
      </c>
      <c r="D9" s="29">
        <f>C9+150</f>
        <v>45614</v>
      </c>
      <c r="E9" s="18"/>
      <c r="F9" s="6" cm="1">
        <f t="array" ref="F9">PercentageOfCurrentPeriod($C9,$D9,F$4)*$B9*hours_per_month</f>
        <v>0</v>
      </c>
      <c r="G9" s="6" cm="1">
        <f t="array" ref="G9">PercentageOfCurrentPeriod($C9,$D9,G$4)*$B9*hours_per_month</f>
        <v>0</v>
      </c>
      <c r="H9" s="6" cm="1">
        <f t="array" ref="H9">PercentageOfCurrentPeriod($C9,$D9,H$4)*$B9*hours_per_month</f>
        <v>0</v>
      </c>
      <c r="I9" s="6" cm="1">
        <f t="array" ref="I9">PercentageOfCurrentPeriod($C9,$D9,I$4)*$B9*hours_per_month</f>
        <v>0</v>
      </c>
      <c r="J9" s="6" cm="1">
        <f t="array" ref="J9">PercentageOfCurrentPeriod($C9,$D9,J$4)*$B9*hours_per_month</f>
        <v>0</v>
      </c>
      <c r="K9" s="6" cm="1">
        <f t="array" ref="K9">PercentageOfCurrentPeriod($C9,$D9,K$4)*$B9*hours_per_month</f>
        <v>0</v>
      </c>
      <c r="L9" s="6" cm="1">
        <f t="array" ref="L9">PercentageOfCurrentPeriod($C9,$D9,L$4)*$B9*hours_per_month</f>
        <v>0</v>
      </c>
      <c r="M9" s="6" cm="1">
        <f t="array" ref="M9">PercentageOfCurrentPeriod($C9,$D9,M$4)*$B9*hours_per_month</f>
        <v>0</v>
      </c>
      <c r="N9" s="6" cm="1">
        <f t="array" ref="N9">PercentageOfCurrentPeriod($C9,$D9,N$4)*$B9*hours_per_month</f>
        <v>0</v>
      </c>
      <c r="O9" s="6" cm="1">
        <f t="array" ref="O9">PercentageOfCurrentPeriod($C9,$D9,O$4)*$B9*hours_per_month</f>
        <v>0</v>
      </c>
      <c r="P9" s="6" cm="1">
        <f t="array" ref="P9">PercentageOfCurrentPeriod($C9,$D9,P$4)*$B9*hours_per_month</f>
        <v>0</v>
      </c>
      <c r="Q9" s="6" cm="1">
        <f t="array" ref="Q9">PercentageOfCurrentPeriod($C9,$D9,Q$4)*$B9*hours_per_month</f>
        <v>11555.555555555555</v>
      </c>
      <c r="R9" s="6" cm="1">
        <f t="array" ref="R9">PercentageOfCurrentPeriod($C9,$D9,R$4)*$B9*hours_per_month</f>
        <v>34666.666666666672</v>
      </c>
      <c r="S9" s="6" cm="1">
        <f t="array" ref="S9">PercentageOfCurrentPeriod($C9,$D9,S$4)*$B9*hours_per_month</f>
        <v>34666.666666666672</v>
      </c>
      <c r="T9" s="6" cm="1">
        <f t="array" ref="T9">PercentageOfCurrentPeriod($C9,$D9,T$4)*$B9*hours_per_month</f>
        <v>34666.666666666672</v>
      </c>
      <c r="U9" s="6" cm="1">
        <f t="array" ref="U9">PercentageOfCurrentPeriod($C9,$D9,U$4)*$B9*hours_per_month</f>
        <v>34666.666666666672</v>
      </c>
      <c r="V9" s="6" cm="1">
        <f t="array" ref="V9">PercentageOfCurrentPeriod($C9,$D9,V$4)*$B9*hours_per_month</f>
        <v>20800</v>
      </c>
      <c r="W9" s="6" cm="1">
        <f t="array" ref="W9">PercentageOfCurrentPeriod($C9,$D9,W$4)*$B9*hours_per_month</f>
        <v>0</v>
      </c>
      <c r="X9" s="6" cm="1">
        <f t="array" ref="X9">PercentageOfCurrentPeriod($C9,$D9,X$4)*$B9*hours_per_month</f>
        <v>0</v>
      </c>
      <c r="Y9" s="6" cm="1">
        <f t="array" ref="Y9">PercentageOfCurrentPeriod($C9,$D9,Y$4)*$B9*hours_per_month</f>
        <v>0</v>
      </c>
      <c r="Z9" s="6" cm="1">
        <f t="array" ref="Z9">PercentageOfCurrentPeriod($C9,$D9,Z$4)*$B9*hours_per_month</f>
        <v>0</v>
      </c>
      <c r="AA9" s="6" cm="1">
        <f t="array" ref="AA9">PercentageOfCurrentPeriod($C9,$D9,AA$4)*$B9*hours_per_month</f>
        <v>0</v>
      </c>
      <c r="AB9" s="6" cm="1">
        <f t="array" ref="AB9">PercentageOfCurrentPeriod($C9,$D9,AB$4)*$B9*hours_per_month</f>
        <v>0</v>
      </c>
    </row>
    <row r="10" spans="1:28" x14ac:dyDescent="0.25">
      <c r="A10" s="28" t="s">
        <v>22</v>
      </c>
      <c r="B10" s="5">
        <v>150</v>
      </c>
      <c r="C10" s="4">
        <v>45292</v>
      </c>
      <c r="D10" s="29">
        <v>45323</v>
      </c>
      <c r="E10" s="18"/>
      <c r="F10" s="6" cm="1">
        <f t="array" ref="F10">PercentageOfCurrentPeriod($C10,$D10,F$4)*$B10*hours_per_month</f>
        <v>0</v>
      </c>
      <c r="G10" s="6" cm="1">
        <f t="array" ref="G10">PercentageOfCurrentPeriod($C10,$D10,G$4)*$B10*hours_per_month</f>
        <v>0</v>
      </c>
      <c r="H10" s="6" cm="1">
        <f t="array" ref="H10">PercentageOfCurrentPeriod($C10,$D10,H$4)*$B10*hours_per_month</f>
        <v>0</v>
      </c>
      <c r="I10" s="6" cm="1">
        <f t="array" ref="I10">PercentageOfCurrentPeriod($C10,$D10,I$4)*$B10*hours_per_month</f>
        <v>0</v>
      </c>
      <c r="J10" s="6" cm="1">
        <f t="array" ref="J10">PercentageOfCurrentPeriod($C10,$D10,J$4)*$B10*hours_per_month</f>
        <v>0</v>
      </c>
      <c r="K10" s="6" cm="1">
        <f t="array" ref="K10">PercentageOfCurrentPeriod($C10,$D10,K$4)*$B10*hours_per_month</f>
        <v>0</v>
      </c>
      <c r="L10" s="6" cm="1">
        <f t="array" ref="L10">PercentageOfCurrentPeriod($C10,$D10,L$4)*$B10*hours_per_month</f>
        <v>26000</v>
      </c>
      <c r="M10" s="6" cm="1">
        <f t="array" ref="M10">PercentageOfCurrentPeriod($C10,$D10,M$4)*$B10*hours_per_month</f>
        <v>896.55172413793116</v>
      </c>
      <c r="N10" s="6" cm="1">
        <f t="array" ref="N10">PercentageOfCurrentPeriod($C10,$D10,N$4)*$B10*hours_per_month</f>
        <v>0</v>
      </c>
      <c r="O10" s="6" cm="1">
        <f t="array" ref="O10">PercentageOfCurrentPeriod($C10,$D10,O$4)*$B10*hours_per_month</f>
        <v>0</v>
      </c>
      <c r="P10" s="6" cm="1">
        <f t="array" ref="P10">PercentageOfCurrentPeriod($C10,$D10,P$4)*$B10*hours_per_month</f>
        <v>0</v>
      </c>
      <c r="Q10" s="6" cm="1">
        <f t="array" ref="Q10">PercentageOfCurrentPeriod($C10,$D10,Q$4)*$B10*hours_per_month</f>
        <v>0</v>
      </c>
      <c r="R10" s="6" cm="1">
        <f t="array" ref="R10">PercentageOfCurrentPeriod($C10,$D10,R$4)*$B10*hours_per_month</f>
        <v>0</v>
      </c>
      <c r="S10" s="6" cm="1">
        <f t="array" ref="S10">PercentageOfCurrentPeriod($C10,$D10,S$4)*$B10*hours_per_month</f>
        <v>0</v>
      </c>
      <c r="T10" s="6" cm="1">
        <f t="array" ref="T10">PercentageOfCurrentPeriod($C10,$D10,T$4)*$B10*hours_per_month</f>
        <v>0</v>
      </c>
      <c r="U10" s="6" cm="1">
        <f t="array" ref="U10">PercentageOfCurrentPeriod($C10,$D10,U$4)*$B10*hours_per_month</f>
        <v>0</v>
      </c>
      <c r="V10" s="6" cm="1">
        <f t="array" ref="V10">PercentageOfCurrentPeriod($C10,$D10,V$4)*$B10*hours_per_month</f>
        <v>0</v>
      </c>
      <c r="W10" s="6" cm="1">
        <f t="array" ref="W10">PercentageOfCurrentPeriod($C10,$D10,W$4)*$B10*hours_per_month</f>
        <v>0</v>
      </c>
      <c r="X10" s="6" cm="1">
        <f t="array" ref="X10">PercentageOfCurrentPeriod($C10,$D10,X$4)*$B10*hours_per_month</f>
        <v>0</v>
      </c>
      <c r="Y10" s="6" cm="1">
        <f t="array" ref="Y10">PercentageOfCurrentPeriod($C10,$D10,Y$4)*$B10*hours_per_month</f>
        <v>0</v>
      </c>
      <c r="Z10" s="6" cm="1">
        <f t="array" ref="Z10">PercentageOfCurrentPeriod($C10,$D10,Z$4)*$B10*hours_per_month</f>
        <v>0</v>
      </c>
      <c r="AA10" s="6" cm="1">
        <f t="array" ref="AA10">PercentageOfCurrentPeriod($C10,$D10,AA$4)*$B10*hours_per_month</f>
        <v>0</v>
      </c>
      <c r="AB10" s="6" cm="1">
        <f t="array" ref="AB10">PercentageOfCurrentPeriod($C10,$D10,AB$4)*$B10*hours_per_month</f>
        <v>0</v>
      </c>
    </row>
    <row r="11" spans="1:28" x14ac:dyDescent="0.25">
      <c r="A11" s="28" t="s">
        <v>23</v>
      </c>
      <c r="B11" s="5">
        <v>100</v>
      </c>
      <c r="C11" s="4">
        <v>45275</v>
      </c>
      <c r="D11" s="29">
        <v>45641</v>
      </c>
      <c r="E11" s="18"/>
      <c r="F11" s="6" cm="1">
        <f t="array" ref="F11">PercentageOfCurrentPeriod($C11,$D11,F$4)*$B11*hours_per_month</f>
        <v>0</v>
      </c>
      <c r="G11" s="6" cm="1">
        <f t="array" ref="G11">PercentageOfCurrentPeriod($C11,$D11,G$4)*$B11*hours_per_month</f>
        <v>0</v>
      </c>
      <c r="H11" s="6" cm="1">
        <f t="array" ref="H11">PercentageOfCurrentPeriod($C11,$D11,H$4)*$B11*hours_per_month</f>
        <v>0</v>
      </c>
      <c r="I11" s="6" cm="1">
        <f t="array" ref="I11">PercentageOfCurrentPeriod($C11,$D11,I$4)*$B11*hours_per_month</f>
        <v>0</v>
      </c>
      <c r="J11" s="6" cm="1">
        <f t="array" ref="J11">PercentageOfCurrentPeriod($C11,$D11,J$4)*$B11*hours_per_month</f>
        <v>0</v>
      </c>
      <c r="K11" s="6" cm="1">
        <f t="array" ref="K11">PercentageOfCurrentPeriod($C11,$D11,K$4)*$B11*hours_per_month</f>
        <v>9505.3763440860221</v>
      </c>
      <c r="L11" s="6" cm="1">
        <f t="array" ref="L11">PercentageOfCurrentPeriod($C11,$D11,L$4)*$B11*hours_per_month</f>
        <v>17333.333333333336</v>
      </c>
      <c r="M11" s="6" cm="1">
        <f t="array" ref="M11">PercentageOfCurrentPeriod($C11,$D11,M$4)*$B11*hours_per_month</f>
        <v>17333.333333333336</v>
      </c>
      <c r="N11" s="6" cm="1">
        <f t="array" ref="N11">PercentageOfCurrentPeriod($C11,$D11,N$4)*$B11*hours_per_month</f>
        <v>17333.333333333336</v>
      </c>
      <c r="O11" s="6" cm="1">
        <f t="array" ref="O11">PercentageOfCurrentPeriod($C11,$D11,O$4)*$B11*hours_per_month</f>
        <v>17333.333333333336</v>
      </c>
      <c r="P11" s="6" cm="1">
        <f t="array" ref="P11">PercentageOfCurrentPeriod($C11,$D11,P$4)*$B11*hours_per_month</f>
        <v>17333.333333333336</v>
      </c>
      <c r="Q11" s="6" cm="1">
        <f t="array" ref="Q11">PercentageOfCurrentPeriod($C11,$D11,Q$4)*$B11*hours_per_month</f>
        <v>17333.333333333336</v>
      </c>
      <c r="R11" s="6" cm="1">
        <f t="array" ref="R11">PercentageOfCurrentPeriod($C11,$D11,R$4)*$B11*hours_per_month</f>
        <v>17333.333333333336</v>
      </c>
      <c r="S11" s="6" cm="1">
        <f t="array" ref="S11">PercentageOfCurrentPeriod($C11,$D11,S$4)*$B11*hours_per_month</f>
        <v>17333.333333333336</v>
      </c>
      <c r="T11" s="6" cm="1">
        <f t="array" ref="T11">PercentageOfCurrentPeriod($C11,$D11,T$4)*$B11*hours_per_month</f>
        <v>17333.333333333336</v>
      </c>
      <c r="U11" s="6" cm="1">
        <f t="array" ref="U11">PercentageOfCurrentPeriod($C11,$D11,U$4)*$B11*hours_per_month</f>
        <v>17333.333333333336</v>
      </c>
      <c r="V11" s="6" cm="1">
        <f t="array" ref="V11">PercentageOfCurrentPeriod($C11,$D11,V$4)*$B11*hours_per_month</f>
        <v>17333.333333333336</v>
      </c>
      <c r="W11" s="6" cm="1">
        <f t="array" ref="W11">PercentageOfCurrentPeriod($C11,$D11,W$4)*$B11*hours_per_month</f>
        <v>8387.0967741935492</v>
      </c>
      <c r="X11" s="6" cm="1">
        <f t="array" ref="X11">PercentageOfCurrentPeriod($C11,$D11,X$4)*$B11*hours_per_month</f>
        <v>0</v>
      </c>
      <c r="Y11" s="6" cm="1">
        <f t="array" ref="Y11">PercentageOfCurrentPeriod($C11,$D11,Y$4)*$B11*hours_per_month</f>
        <v>0</v>
      </c>
      <c r="Z11" s="6" cm="1">
        <f t="array" ref="Z11">PercentageOfCurrentPeriod($C11,$D11,Z$4)*$B11*hours_per_month</f>
        <v>0</v>
      </c>
      <c r="AA11" s="6" cm="1">
        <f t="array" ref="AA11">PercentageOfCurrentPeriod($C11,$D11,AA$4)*$B11*hours_per_month</f>
        <v>0</v>
      </c>
      <c r="AB11" s="6" cm="1">
        <f t="array" ref="AB11">PercentageOfCurrentPeriod($C11,$D11,AB$4)*$B11*hours_per_month</f>
        <v>0</v>
      </c>
    </row>
    <row r="12" spans="1:28" x14ac:dyDescent="0.25">
      <c r="A12" s="28" t="s">
        <v>24</v>
      </c>
      <c r="B12" s="5">
        <v>75</v>
      </c>
      <c r="C12" s="4">
        <v>45108</v>
      </c>
      <c r="D12" s="29">
        <v>45330</v>
      </c>
      <c r="E12" s="18"/>
      <c r="F12" s="6" cm="1">
        <f t="array" ref="F12">PercentageOfCurrentPeriod($C12,$D12,F$4)*$B12*hours_per_month</f>
        <v>13000</v>
      </c>
      <c r="G12" s="6" cm="1">
        <f t="array" ref="G12">PercentageOfCurrentPeriod($C12,$D12,G$4)*$B12*hours_per_month</f>
        <v>13000</v>
      </c>
      <c r="H12" s="6" cm="1">
        <f t="array" ref="H12">PercentageOfCurrentPeriod($C12,$D12,H$4)*$B12*hours_per_month</f>
        <v>13000</v>
      </c>
      <c r="I12" s="6" cm="1">
        <f t="array" ref="I12">PercentageOfCurrentPeriod($C12,$D12,I$4)*$B12*hours_per_month</f>
        <v>13000</v>
      </c>
      <c r="J12" s="6" cm="1">
        <f t="array" ref="J12">PercentageOfCurrentPeriod($C12,$D12,J$4)*$B12*hours_per_month</f>
        <v>13000</v>
      </c>
      <c r="K12" s="6" cm="1">
        <f t="array" ref="K12">PercentageOfCurrentPeriod($C12,$D12,K$4)*$B12*hours_per_month</f>
        <v>13000</v>
      </c>
      <c r="L12" s="6" cm="1">
        <f t="array" ref="L12">PercentageOfCurrentPeriod($C12,$D12,L$4)*$B12*hours_per_month</f>
        <v>13000</v>
      </c>
      <c r="M12" s="6" cm="1">
        <f t="array" ref="M12">PercentageOfCurrentPeriod($C12,$D12,M$4)*$B12*hours_per_month</f>
        <v>3586.2068965517246</v>
      </c>
      <c r="N12" s="6" cm="1">
        <f t="array" ref="N12">PercentageOfCurrentPeriod($C12,$D12,N$4)*$B12*hours_per_month</f>
        <v>0</v>
      </c>
      <c r="O12" s="6" cm="1">
        <f t="array" ref="O12">PercentageOfCurrentPeriod($C12,$D12,O$4)*$B12*hours_per_month</f>
        <v>0</v>
      </c>
      <c r="P12" s="6" cm="1">
        <f t="array" ref="P12">PercentageOfCurrentPeriod($C12,$D12,P$4)*$B12*hours_per_month</f>
        <v>0</v>
      </c>
      <c r="Q12" s="6" cm="1">
        <f t="array" ref="Q12">PercentageOfCurrentPeriod($C12,$D12,Q$4)*$B12*hours_per_month</f>
        <v>0</v>
      </c>
      <c r="R12" s="6" cm="1">
        <f t="array" ref="R12">PercentageOfCurrentPeriod($C12,$D12,R$4)*$B12*hours_per_month</f>
        <v>0</v>
      </c>
      <c r="S12" s="6" cm="1">
        <f t="array" ref="S12">PercentageOfCurrentPeriod($C12,$D12,S$4)*$B12*hours_per_month</f>
        <v>0</v>
      </c>
      <c r="T12" s="6" cm="1">
        <f t="array" ref="T12">PercentageOfCurrentPeriod($C12,$D12,T$4)*$B12*hours_per_month</f>
        <v>0</v>
      </c>
      <c r="U12" s="6" cm="1">
        <f t="array" ref="U12">PercentageOfCurrentPeriod($C12,$D12,U$4)*$B12*hours_per_month</f>
        <v>0</v>
      </c>
      <c r="V12" s="6" cm="1">
        <f t="array" ref="V12">PercentageOfCurrentPeriod($C12,$D12,V$4)*$B12*hours_per_month</f>
        <v>0</v>
      </c>
      <c r="W12" s="6" cm="1">
        <f t="array" ref="W12">PercentageOfCurrentPeriod($C12,$D12,W$4)*$B12*hours_per_month</f>
        <v>0</v>
      </c>
      <c r="X12" s="6" cm="1">
        <f t="array" ref="X12">PercentageOfCurrentPeriod($C12,$D12,X$4)*$B12*hours_per_month</f>
        <v>0</v>
      </c>
      <c r="Y12" s="6" cm="1">
        <f t="array" ref="Y12">PercentageOfCurrentPeriod($C12,$D12,Y$4)*$B12*hours_per_month</f>
        <v>0</v>
      </c>
      <c r="Z12" s="6" cm="1">
        <f t="array" ref="Z12">PercentageOfCurrentPeriod($C12,$D12,Z$4)*$B12*hours_per_month</f>
        <v>0</v>
      </c>
      <c r="AA12" s="6" cm="1">
        <f t="array" ref="AA12">PercentageOfCurrentPeriod($C12,$D12,AA$4)*$B12*hours_per_month</f>
        <v>0</v>
      </c>
      <c r="AB12" s="6" cm="1">
        <f t="array" ref="AB12">PercentageOfCurrentPeriod($C12,$D12,AB$4)*$B12*hours_per_month</f>
        <v>0</v>
      </c>
    </row>
    <row r="13" spans="1:28" x14ac:dyDescent="0.25">
      <c r="A13" s="28" t="s">
        <v>25</v>
      </c>
      <c r="B13" s="5">
        <v>50</v>
      </c>
      <c r="C13" s="4">
        <v>45292</v>
      </c>
      <c r="D13" s="29">
        <v>45565</v>
      </c>
      <c r="E13" s="18"/>
      <c r="F13" s="6" cm="1">
        <f t="array" ref="F13">PercentageOfCurrentPeriod($C13,$D13,F$4)*$B13*hours_per_month</f>
        <v>0</v>
      </c>
      <c r="G13" s="6" cm="1">
        <f t="array" ref="G13">PercentageOfCurrentPeriod($C13,$D13,G$4)*$B13*hours_per_month</f>
        <v>0</v>
      </c>
      <c r="H13" s="6" cm="1">
        <f t="array" ref="H13">PercentageOfCurrentPeriod($C13,$D13,H$4)*$B13*hours_per_month</f>
        <v>0</v>
      </c>
      <c r="I13" s="6" cm="1">
        <f t="array" ref="I13">PercentageOfCurrentPeriod($C13,$D13,I$4)*$B13*hours_per_month</f>
        <v>0</v>
      </c>
      <c r="J13" s="6" cm="1">
        <f t="array" ref="J13">PercentageOfCurrentPeriod($C13,$D13,J$4)*$B13*hours_per_month</f>
        <v>0</v>
      </c>
      <c r="K13" s="6" cm="1">
        <f t="array" ref="K13">PercentageOfCurrentPeriod($C13,$D13,K$4)*$B13*hours_per_month</f>
        <v>0</v>
      </c>
      <c r="L13" s="6" cm="1">
        <f t="array" ref="L13">PercentageOfCurrentPeriod($C13,$D13,L$4)*$B13*hours_per_month</f>
        <v>8666.6666666666679</v>
      </c>
      <c r="M13" s="6" cm="1">
        <f t="array" ref="M13">PercentageOfCurrentPeriod($C13,$D13,M$4)*$B13*hours_per_month</f>
        <v>8666.6666666666679</v>
      </c>
      <c r="N13" s="6" cm="1">
        <f t="array" ref="N13">PercentageOfCurrentPeriod($C13,$D13,N$4)*$B13*hours_per_month</f>
        <v>8666.6666666666679</v>
      </c>
      <c r="O13" s="6" cm="1">
        <f t="array" ref="O13">PercentageOfCurrentPeriod($C13,$D13,O$4)*$B13*hours_per_month</f>
        <v>8666.6666666666679</v>
      </c>
      <c r="P13" s="6" cm="1">
        <f t="array" ref="P13">PercentageOfCurrentPeriod($C13,$D13,P$4)*$B13*hours_per_month</f>
        <v>8666.6666666666679</v>
      </c>
      <c r="Q13" s="6" cm="1">
        <f t="array" ref="Q13">PercentageOfCurrentPeriod($C13,$D13,Q$4)*$B13*hours_per_month</f>
        <v>8666.6666666666679</v>
      </c>
      <c r="R13" s="6" cm="1">
        <f t="array" ref="R13">PercentageOfCurrentPeriod($C13,$D13,R$4)*$B13*hours_per_month</f>
        <v>8666.6666666666679</v>
      </c>
      <c r="S13" s="6" cm="1">
        <f t="array" ref="S13">PercentageOfCurrentPeriod($C13,$D13,S$4)*$B13*hours_per_month</f>
        <v>8666.6666666666679</v>
      </c>
      <c r="T13" s="6" cm="1">
        <f t="array" ref="T13">PercentageOfCurrentPeriod($C13,$D13,T$4)*$B13*hours_per_month</f>
        <v>8666.6666666666679</v>
      </c>
      <c r="U13" s="6" cm="1">
        <f t="array" ref="U13">PercentageOfCurrentPeriod($C13,$D13,U$4)*$B13*hours_per_month</f>
        <v>0</v>
      </c>
      <c r="V13" s="6" cm="1">
        <f t="array" ref="V13">PercentageOfCurrentPeriod($C13,$D13,V$4)*$B13*hours_per_month</f>
        <v>0</v>
      </c>
      <c r="W13" s="6" cm="1">
        <f t="array" ref="W13">PercentageOfCurrentPeriod($C13,$D13,W$4)*$B13*hours_per_month</f>
        <v>0</v>
      </c>
      <c r="X13" s="6" cm="1">
        <f t="array" ref="X13">PercentageOfCurrentPeriod($C13,$D13,X$4)*$B13*hours_per_month</f>
        <v>0</v>
      </c>
      <c r="Y13" s="6" cm="1">
        <f t="array" ref="Y13">PercentageOfCurrentPeriod($C13,$D13,Y$4)*$B13*hours_per_month</f>
        <v>0</v>
      </c>
      <c r="Z13" s="6" cm="1">
        <f t="array" ref="Z13">PercentageOfCurrentPeriod($C13,$D13,Z$4)*$B13*hours_per_month</f>
        <v>0</v>
      </c>
      <c r="AA13" s="6" cm="1">
        <f t="array" ref="AA13">PercentageOfCurrentPeriod($C13,$D13,AA$4)*$B13*hours_per_month</f>
        <v>0</v>
      </c>
      <c r="AB13" s="6" cm="1">
        <f t="array" ref="AB13">PercentageOfCurrentPeriod($C13,$D13,AB$4)*$B13*hours_per_month</f>
        <v>0</v>
      </c>
    </row>
    <row r="14" spans="1:28" x14ac:dyDescent="0.25">
      <c r="A14" s="28" t="s">
        <v>26</v>
      </c>
      <c r="B14" s="5">
        <v>50</v>
      </c>
      <c r="C14" s="4">
        <v>45356</v>
      </c>
      <c r="D14" s="29">
        <v>45465</v>
      </c>
      <c r="E14" s="18"/>
      <c r="F14" s="6" cm="1">
        <f t="array" ref="F14">PercentageOfCurrentPeriod($C14,$D14,F$4)*$B14*hours_per_month</f>
        <v>0</v>
      </c>
      <c r="G14" s="6" cm="1">
        <f t="array" ref="G14">PercentageOfCurrentPeriod($C14,$D14,G$4)*$B14*hours_per_month</f>
        <v>0</v>
      </c>
      <c r="H14" s="6" cm="1">
        <f t="array" ref="H14">PercentageOfCurrentPeriod($C14,$D14,H$4)*$B14*hours_per_month</f>
        <v>0</v>
      </c>
      <c r="I14" s="6" cm="1">
        <f t="array" ref="I14">PercentageOfCurrentPeriod($C14,$D14,I$4)*$B14*hours_per_month</f>
        <v>0</v>
      </c>
      <c r="J14" s="6" cm="1">
        <f t="array" ref="J14">PercentageOfCurrentPeriod($C14,$D14,J$4)*$B14*hours_per_month</f>
        <v>0</v>
      </c>
      <c r="K14" s="6" cm="1">
        <f t="array" ref="K14">PercentageOfCurrentPeriod($C14,$D14,K$4)*$B14*hours_per_month</f>
        <v>0</v>
      </c>
      <c r="L14" s="6" cm="1">
        <f t="array" ref="L14">PercentageOfCurrentPeriod($C14,$D14,L$4)*$B14*hours_per_month</f>
        <v>0</v>
      </c>
      <c r="M14" s="6" cm="1">
        <f t="array" ref="M14">PercentageOfCurrentPeriod($C14,$D14,M$4)*$B14*hours_per_month</f>
        <v>0</v>
      </c>
      <c r="N14" s="6" cm="1">
        <f t="array" ref="N14">PercentageOfCurrentPeriod($C14,$D14,N$4)*$B14*hours_per_month</f>
        <v>7548.3870967741941</v>
      </c>
      <c r="O14" s="6" cm="1">
        <f t="array" ref="O14">PercentageOfCurrentPeriod($C14,$D14,O$4)*$B14*hours_per_month</f>
        <v>8666.6666666666679</v>
      </c>
      <c r="P14" s="6" cm="1">
        <f t="array" ref="P14">PercentageOfCurrentPeriod($C14,$D14,P$4)*$B14*hours_per_month</f>
        <v>8666.6666666666679</v>
      </c>
      <c r="Q14" s="6" cm="1">
        <f t="array" ref="Q14">PercentageOfCurrentPeriod($C14,$D14,Q$4)*$B14*hours_per_month</f>
        <v>6355.5555555555557</v>
      </c>
      <c r="R14" s="6" cm="1">
        <f t="array" ref="R14">PercentageOfCurrentPeriod($C14,$D14,R$4)*$B14*hours_per_month</f>
        <v>0</v>
      </c>
      <c r="S14" s="6" cm="1">
        <f t="array" ref="S14">PercentageOfCurrentPeriod($C14,$D14,S$4)*$B14*hours_per_month</f>
        <v>0</v>
      </c>
      <c r="T14" s="6" cm="1">
        <f t="array" ref="T14">PercentageOfCurrentPeriod($C14,$D14,T$4)*$B14*hours_per_month</f>
        <v>0</v>
      </c>
      <c r="U14" s="6" cm="1">
        <f t="array" ref="U14">PercentageOfCurrentPeriod($C14,$D14,U$4)*$B14*hours_per_month</f>
        <v>0</v>
      </c>
      <c r="V14" s="6" cm="1">
        <f t="array" ref="V14">PercentageOfCurrentPeriod($C14,$D14,V$4)*$B14*hours_per_month</f>
        <v>0</v>
      </c>
      <c r="W14" s="6" cm="1">
        <f t="array" ref="W14">PercentageOfCurrentPeriod($C14,$D14,W$4)*$B14*hours_per_month</f>
        <v>0</v>
      </c>
      <c r="X14" s="6" cm="1">
        <f t="array" ref="X14">PercentageOfCurrentPeriod($C14,$D14,X$4)*$B14*hours_per_month</f>
        <v>0</v>
      </c>
      <c r="Y14" s="6" cm="1">
        <f t="array" ref="Y14">PercentageOfCurrentPeriod($C14,$D14,Y$4)*$B14*hours_per_month</f>
        <v>0</v>
      </c>
      <c r="Z14" s="6" cm="1">
        <f t="array" ref="Z14">PercentageOfCurrentPeriod($C14,$D14,Z$4)*$B14*hours_per_month</f>
        <v>0</v>
      </c>
      <c r="AA14" s="6" cm="1">
        <f t="array" ref="AA14">PercentageOfCurrentPeriod($C14,$D14,AA$4)*$B14*hours_per_month</f>
        <v>0</v>
      </c>
      <c r="AB14" s="6" cm="1">
        <f t="array" ref="AB14">PercentageOfCurrentPeriod($C14,$D14,AB$4)*$B14*hours_per_month</f>
        <v>0</v>
      </c>
    </row>
    <row r="15" spans="1:28" x14ac:dyDescent="0.25">
      <c r="A15" s="28"/>
      <c r="B15" s="3"/>
      <c r="C15" s="3"/>
      <c r="D15" s="30"/>
      <c r="E15" s="18"/>
      <c r="F15" s="6" cm="1">
        <f t="array" ref="F15">PercentageOfCurrentPeriod($C15,$D15,F$4)*$B15*hours_per_month</f>
        <v>0</v>
      </c>
      <c r="G15" s="6" cm="1">
        <f t="array" ref="G15">PercentageOfCurrentPeriod($C15,$D15,G$4)*$B15*hours_per_month</f>
        <v>0</v>
      </c>
      <c r="H15" s="6" cm="1">
        <f t="array" ref="H15">PercentageOfCurrentPeriod($C15,$D15,H$4)*$B15*hours_per_month</f>
        <v>0</v>
      </c>
      <c r="I15" s="6" cm="1">
        <f t="array" ref="I15">PercentageOfCurrentPeriod($C15,$D15,I$4)*$B15*hours_per_month</f>
        <v>0</v>
      </c>
      <c r="J15" s="6" cm="1">
        <f t="array" ref="J15">PercentageOfCurrentPeriod($C15,$D15,J$4)*$B15*hours_per_month</f>
        <v>0</v>
      </c>
      <c r="K15" s="6" cm="1">
        <f t="array" ref="K15">PercentageOfCurrentPeriod($C15,$D15,K$4)*$B15*hours_per_month</f>
        <v>0</v>
      </c>
      <c r="L15" s="6" cm="1">
        <f t="array" ref="L15">PercentageOfCurrentPeriod($C15,$D15,L$4)*$B15*hours_per_month</f>
        <v>0</v>
      </c>
      <c r="M15" s="6" cm="1">
        <f t="array" ref="M15">PercentageOfCurrentPeriod($C15,$D15,M$4)*$B15*hours_per_month</f>
        <v>0</v>
      </c>
      <c r="N15" s="6" cm="1">
        <f t="array" ref="N15">PercentageOfCurrentPeriod($C15,$D15,N$4)*$B15*hours_per_month</f>
        <v>0</v>
      </c>
      <c r="O15" s="6" cm="1">
        <f t="array" ref="O15">PercentageOfCurrentPeriod($C15,$D15,O$4)*$B15*hours_per_month</f>
        <v>0</v>
      </c>
      <c r="P15" s="6" cm="1">
        <f t="array" ref="P15">PercentageOfCurrentPeriod($C15,$D15,P$4)*$B15*hours_per_month</f>
        <v>0</v>
      </c>
      <c r="Q15" s="6" cm="1">
        <f t="array" ref="Q15">PercentageOfCurrentPeriod($C15,$D15,Q$4)*$B15*hours_per_month</f>
        <v>0</v>
      </c>
      <c r="R15" s="6" cm="1">
        <f t="array" ref="R15">PercentageOfCurrentPeriod($C15,$D15,R$4)*$B15*hours_per_month</f>
        <v>0</v>
      </c>
      <c r="S15" s="6" cm="1">
        <f t="array" ref="S15">PercentageOfCurrentPeriod($C15,$D15,S$4)*$B15*hours_per_month</f>
        <v>0</v>
      </c>
      <c r="T15" s="6" cm="1">
        <f t="array" ref="T15">PercentageOfCurrentPeriod($C15,$D15,T$4)*$B15*hours_per_month</f>
        <v>0</v>
      </c>
      <c r="U15" s="6" cm="1">
        <f t="array" ref="U15">PercentageOfCurrentPeriod($C15,$D15,U$4)*$B15*hours_per_month</f>
        <v>0</v>
      </c>
      <c r="V15" s="6" cm="1">
        <f t="array" ref="V15">PercentageOfCurrentPeriod($C15,$D15,V$4)*$B15*hours_per_month</f>
        <v>0</v>
      </c>
      <c r="W15" s="6" cm="1">
        <f t="array" ref="W15">PercentageOfCurrentPeriod($C15,$D15,W$4)*$B15*hours_per_month</f>
        <v>0</v>
      </c>
      <c r="X15" s="6" cm="1">
        <f t="array" ref="X15">PercentageOfCurrentPeriod($C15,$D15,X$4)*$B15*hours_per_month</f>
        <v>0</v>
      </c>
      <c r="Y15" s="6" cm="1">
        <f t="array" ref="Y15">PercentageOfCurrentPeriod($C15,$D15,Y$4)*$B15*hours_per_month</f>
        <v>0</v>
      </c>
      <c r="Z15" s="6" cm="1">
        <f t="array" ref="Z15">PercentageOfCurrentPeriod($C15,$D15,Z$4)*$B15*hours_per_month</f>
        <v>0</v>
      </c>
      <c r="AA15" s="6" cm="1">
        <f t="array" ref="AA15">PercentageOfCurrentPeriod($C15,$D15,AA$4)*$B15*hours_per_month</f>
        <v>0</v>
      </c>
      <c r="AB15" s="6" cm="1">
        <f t="array" ref="AB15">PercentageOfCurrentPeriod($C15,$D15,AB$4)*$B15*hours_per_month</f>
        <v>0</v>
      </c>
    </row>
    <row r="16" spans="1:28" x14ac:dyDescent="0.25">
      <c r="A16" s="28"/>
      <c r="B16" s="3"/>
      <c r="C16" s="3"/>
      <c r="D16" s="30"/>
      <c r="E16" s="18"/>
      <c r="F16" s="6" cm="1">
        <f t="array" ref="F16">PercentageOfCurrentPeriod($C16,$D16,F$4)*$B16*hours_per_month</f>
        <v>0</v>
      </c>
      <c r="G16" s="6" cm="1">
        <f t="array" ref="G16">PercentageOfCurrentPeriod($C16,$D16,G$4)*$B16*hours_per_month</f>
        <v>0</v>
      </c>
      <c r="H16" s="6" cm="1">
        <f t="array" ref="H16">PercentageOfCurrentPeriod($C16,$D16,H$4)*$B16*hours_per_month</f>
        <v>0</v>
      </c>
      <c r="I16" s="6" cm="1">
        <f t="array" ref="I16">PercentageOfCurrentPeriod($C16,$D16,I$4)*$B16*hours_per_month</f>
        <v>0</v>
      </c>
      <c r="J16" s="6" cm="1">
        <f t="array" ref="J16">PercentageOfCurrentPeriod($C16,$D16,J$4)*$B16*hours_per_month</f>
        <v>0</v>
      </c>
      <c r="K16" s="6" cm="1">
        <f t="array" ref="K16">PercentageOfCurrentPeriod($C16,$D16,K$4)*$B16*hours_per_month</f>
        <v>0</v>
      </c>
      <c r="L16" s="6" cm="1">
        <f t="array" ref="L16">PercentageOfCurrentPeriod($C16,$D16,L$4)*$B16*hours_per_month</f>
        <v>0</v>
      </c>
      <c r="M16" s="6" cm="1">
        <f t="array" ref="M16">PercentageOfCurrentPeriod($C16,$D16,M$4)*$B16*hours_per_month</f>
        <v>0</v>
      </c>
      <c r="N16" s="6" cm="1">
        <f t="array" ref="N16">PercentageOfCurrentPeriod($C16,$D16,N$4)*$B16*hours_per_month</f>
        <v>0</v>
      </c>
      <c r="O16" s="6" cm="1">
        <f t="array" ref="O16">PercentageOfCurrentPeriod($C16,$D16,O$4)*$B16*hours_per_month</f>
        <v>0</v>
      </c>
      <c r="P16" s="6" cm="1">
        <f t="array" ref="P16">PercentageOfCurrentPeriod($C16,$D16,P$4)*$B16*hours_per_month</f>
        <v>0</v>
      </c>
      <c r="Q16" s="6" cm="1">
        <f t="array" ref="Q16">PercentageOfCurrentPeriod($C16,$D16,Q$4)*$B16*hours_per_month</f>
        <v>0</v>
      </c>
      <c r="R16" s="6" cm="1">
        <f t="array" ref="R16">PercentageOfCurrentPeriod($C16,$D16,R$4)*$B16*hours_per_month</f>
        <v>0</v>
      </c>
      <c r="S16" s="6" cm="1">
        <f t="array" ref="S16">PercentageOfCurrentPeriod($C16,$D16,S$4)*$B16*hours_per_month</f>
        <v>0</v>
      </c>
      <c r="T16" s="6" cm="1">
        <f t="array" ref="T16">PercentageOfCurrentPeriod($C16,$D16,T$4)*$B16*hours_per_month</f>
        <v>0</v>
      </c>
      <c r="U16" s="6" cm="1">
        <f t="array" ref="U16">PercentageOfCurrentPeriod($C16,$D16,U$4)*$B16*hours_per_month</f>
        <v>0</v>
      </c>
      <c r="V16" s="6" cm="1">
        <f t="array" ref="V16">PercentageOfCurrentPeriod($C16,$D16,V$4)*$B16*hours_per_month</f>
        <v>0</v>
      </c>
      <c r="W16" s="6" cm="1">
        <f t="array" ref="W16">PercentageOfCurrentPeriod($C16,$D16,W$4)*$B16*hours_per_month</f>
        <v>0</v>
      </c>
      <c r="X16" s="6" cm="1">
        <f t="array" ref="X16">PercentageOfCurrentPeriod($C16,$D16,X$4)*$B16*hours_per_month</f>
        <v>0</v>
      </c>
      <c r="Y16" s="6" cm="1">
        <f t="array" ref="Y16">PercentageOfCurrentPeriod($C16,$D16,Y$4)*$B16*hours_per_month</f>
        <v>0</v>
      </c>
      <c r="Z16" s="6" cm="1">
        <f t="array" ref="Z16">PercentageOfCurrentPeriod($C16,$D16,Z$4)*$B16*hours_per_month</f>
        <v>0</v>
      </c>
      <c r="AA16" s="6" cm="1">
        <f t="array" ref="AA16">PercentageOfCurrentPeriod($C16,$D16,AA$4)*$B16*hours_per_month</f>
        <v>0</v>
      </c>
      <c r="AB16" s="6" cm="1">
        <f t="array" ref="AB16">PercentageOfCurrentPeriod($C16,$D16,AB$4)*$B16*hours_per_month</f>
        <v>0</v>
      </c>
    </row>
    <row r="17" spans="1:28" x14ac:dyDescent="0.25">
      <c r="A17" s="28"/>
      <c r="B17" s="3"/>
      <c r="C17" s="3"/>
      <c r="D17" s="30"/>
      <c r="E17" s="18"/>
      <c r="F17" s="6" cm="1">
        <f t="array" ref="F17">PercentageOfCurrentPeriod($C17,$D17,F$4)*$B17*hours_per_month</f>
        <v>0</v>
      </c>
      <c r="G17" s="6" cm="1">
        <f t="array" ref="G17">PercentageOfCurrentPeriod($C17,$D17,G$4)*$B17*hours_per_month</f>
        <v>0</v>
      </c>
      <c r="H17" s="6" cm="1">
        <f t="array" ref="H17">PercentageOfCurrentPeriod($C17,$D17,H$4)*$B17*hours_per_month</f>
        <v>0</v>
      </c>
      <c r="I17" s="6" cm="1">
        <f t="array" ref="I17">PercentageOfCurrentPeriod($C17,$D17,I$4)*$B17*hours_per_month</f>
        <v>0</v>
      </c>
      <c r="J17" s="6" cm="1">
        <f t="array" ref="J17">PercentageOfCurrentPeriod($C17,$D17,J$4)*$B17*hours_per_month</f>
        <v>0</v>
      </c>
      <c r="K17" s="6" cm="1">
        <f t="array" ref="K17">PercentageOfCurrentPeriod($C17,$D17,K$4)*$B17*hours_per_month</f>
        <v>0</v>
      </c>
      <c r="L17" s="6" cm="1">
        <f t="array" ref="L17">PercentageOfCurrentPeriod($C17,$D17,L$4)*$B17*hours_per_month</f>
        <v>0</v>
      </c>
      <c r="M17" s="6" cm="1">
        <f t="array" ref="M17">PercentageOfCurrentPeriod($C17,$D17,M$4)*$B17*hours_per_month</f>
        <v>0</v>
      </c>
      <c r="N17" s="6" cm="1">
        <f t="array" ref="N17">PercentageOfCurrentPeriod($C17,$D17,N$4)*$B17*hours_per_month</f>
        <v>0</v>
      </c>
      <c r="O17" s="6" cm="1">
        <f t="array" ref="O17">PercentageOfCurrentPeriod($C17,$D17,O$4)*$B17*hours_per_month</f>
        <v>0</v>
      </c>
      <c r="P17" s="6" cm="1">
        <f t="array" ref="P17">PercentageOfCurrentPeriod($C17,$D17,P$4)*$B17*hours_per_month</f>
        <v>0</v>
      </c>
      <c r="Q17" s="6" cm="1">
        <f t="array" ref="Q17">PercentageOfCurrentPeriod($C17,$D17,Q$4)*$B17*hours_per_month</f>
        <v>0</v>
      </c>
      <c r="R17" s="6" cm="1">
        <f t="array" ref="R17">PercentageOfCurrentPeriod($C17,$D17,R$4)*$B17*hours_per_month</f>
        <v>0</v>
      </c>
      <c r="S17" s="6" cm="1">
        <f t="array" ref="S17">PercentageOfCurrentPeriod($C17,$D17,S$4)*$B17*hours_per_month</f>
        <v>0</v>
      </c>
      <c r="T17" s="6" cm="1">
        <f t="array" ref="T17">PercentageOfCurrentPeriod($C17,$D17,T$4)*$B17*hours_per_month</f>
        <v>0</v>
      </c>
      <c r="U17" s="6" cm="1">
        <f t="array" ref="U17">PercentageOfCurrentPeriod($C17,$D17,U$4)*$B17*hours_per_month</f>
        <v>0</v>
      </c>
      <c r="V17" s="6" cm="1">
        <f t="array" ref="V17">PercentageOfCurrentPeriod($C17,$D17,V$4)*$B17*hours_per_month</f>
        <v>0</v>
      </c>
      <c r="W17" s="6" cm="1">
        <f t="array" ref="W17">PercentageOfCurrentPeriod($C17,$D17,W$4)*$B17*hours_per_month</f>
        <v>0</v>
      </c>
      <c r="X17" s="6" cm="1">
        <f t="array" ref="X17">PercentageOfCurrentPeriod($C17,$D17,X$4)*$B17*hours_per_month</f>
        <v>0</v>
      </c>
      <c r="Y17" s="6" cm="1">
        <f t="array" ref="Y17">PercentageOfCurrentPeriod($C17,$D17,Y$4)*$B17*hours_per_month</f>
        <v>0</v>
      </c>
      <c r="Z17" s="6" cm="1">
        <f t="array" ref="Z17">PercentageOfCurrentPeriod($C17,$D17,Z$4)*$B17*hours_per_month</f>
        <v>0</v>
      </c>
      <c r="AA17" s="6" cm="1">
        <f t="array" ref="AA17">PercentageOfCurrentPeriod($C17,$D17,AA$4)*$B17*hours_per_month</f>
        <v>0</v>
      </c>
      <c r="AB17" s="6" cm="1">
        <f t="array" ref="AB17">PercentageOfCurrentPeriod($C17,$D17,AB$4)*$B17*hours_per_month</f>
        <v>0</v>
      </c>
    </row>
    <row r="18" spans="1:28" x14ac:dyDescent="0.25">
      <c r="A18" s="28"/>
      <c r="B18" s="3"/>
      <c r="C18" s="3"/>
      <c r="D18" s="30"/>
      <c r="E18" s="18"/>
      <c r="F18" s="6" cm="1">
        <f t="array" ref="F18">PercentageOfCurrentPeriod($C18,$D18,F$4)*$B18*hours_per_month</f>
        <v>0</v>
      </c>
      <c r="G18" s="6" cm="1">
        <f t="array" ref="G18">PercentageOfCurrentPeriod($C18,$D18,G$4)*$B18*hours_per_month</f>
        <v>0</v>
      </c>
      <c r="H18" s="6" cm="1">
        <f t="array" ref="H18">PercentageOfCurrentPeriod($C18,$D18,H$4)*$B18*hours_per_month</f>
        <v>0</v>
      </c>
      <c r="I18" s="6" cm="1">
        <f t="array" ref="I18">PercentageOfCurrentPeriod($C18,$D18,I$4)*$B18*hours_per_month</f>
        <v>0</v>
      </c>
      <c r="J18" s="6" cm="1">
        <f t="array" ref="J18">PercentageOfCurrentPeriod($C18,$D18,J$4)*$B18*hours_per_month</f>
        <v>0</v>
      </c>
      <c r="K18" s="6" cm="1">
        <f t="array" ref="K18">PercentageOfCurrentPeriod($C18,$D18,K$4)*$B18*hours_per_month</f>
        <v>0</v>
      </c>
      <c r="L18" s="6" cm="1">
        <f t="array" ref="L18">PercentageOfCurrentPeriod($C18,$D18,L$4)*$B18*hours_per_month</f>
        <v>0</v>
      </c>
      <c r="M18" s="6" cm="1">
        <f t="array" ref="M18">PercentageOfCurrentPeriod($C18,$D18,M$4)*$B18*hours_per_month</f>
        <v>0</v>
      </c>
      <c r="N18" s="6" cm="1">
        <f t="array" ref="N18">PercentageOfCurrentPeriod($C18,$D18,N$4)*$B18*hours_per_month</f>
        <v>0</v>
      </c>
      <c r="O18" s="6" cm="1">
        <f t="array" ref="O18">PercentageOfCurrentPeriod($C18,$D18,O$4)*$B18*hours_per_month</f>
        <v>0</v>
      </c>
      <c r="P18" s="6" cm="1">
        <f t="array" ref="P18">PercentageOfCurrentPeriod($C18,$D18,P$4)*$B18*hours_per_month</f>
        <v>0</v>
      </c>
      <c r="Q18" s="6" cm="1">
        <f t="array" ref="Q18">PercentageOfCurrentPeriod($C18,$D18,Q$4)*$B18*hours_per_month</f>
        <v>0</v>
      </c>
      <c r="R18" s="6" cm="1">
        <f t="array" ref="R18">PercentageOfCurrentPeriod($C18,$D18,R$4)*$B18*hours_per_month</f>
        <v>0</v>
      </c>
      <c r="S18" s="6" cm="1">
        <f t="array" ref="S18">PercentageOfCurrentPeriod($C18,$D18,S$4)*$B18*hours_per_month</f>
        <v>0</v>
      </c>
      <c r="T18" s="6" cm="1">
        <f t="array" ref="T18">PercentageOfCurrentPeriod($C18,$D18,T$4)*$B18*hours_per_month</f>
        <v>0</v>
      </c>
      <c r="U18" s="6" cm="1">
        <f t="array" ref="U18">PercentageOfCurrentPeriod($C18,$D18,U$4)*$B18*hours_per_month</f>
        <v>0</v>
      </c>
      <c r="V18" s="6" cm="1">
        <f t="array" ref="V18">PercentageOfCurrentPeriod($C18,$D18,V$4)*$B18*hours_per_month</f>
        <v>0</v>
      </c>
      <c r="W18" s="6" cm="1">
        <f t="array" ref="W18">PercentageOfCurrentPeriod($C18,$D18,W$4)*$B18*hours_per_month</f>
        <v>0</v>
      </c>
      <c r="X18" s="6" cm="1">
        <f t="array" ref="X18">PercentageOfCurrentPeriod($C18,$D18,X$4)*$B18*hours_per_month</f>
        <v>0</v>
      </c>
      <c r="Y18" s="6" cm="1">
        <f t="array" ref="Y18">PercentageOfCurrentPeriod($C18,$D18,Y$4)*$B18*hours_per_month</f>
        <v>0</v>
      </c>
      <c r="Z18" s="6" cm="1">
        <f t="array" ref="Z18">PercentageOfCurrentPeriod($C18,$D18,Z$4)*$B18*hours_per_month</f>
        <v>0</v>
      </c>
      <c r="AA18" s="6" cm="1">
        <f t="array" ref="AA18">PercentageOfCurrentPeriod($C18,$D18,AA$4)*$B18*hours_per_month</f>
        <v>0</v>
      </c>
      <c r="AB18" s="6" cm="1">
        <f t="array" ref="AB18">PercentageOfCurrentPeriod($C18,$D18,AB$4)*$B18*hours_per_month</f>
        <v>0</v>
      </c>
    </row>
    <row r="19" spans="1:28" x14ac:dyDescent="0.25">
      <c r="A19" s="28"/>
      <c r="B19" s="3"/>
      <c r="C19" s="3"/>
      <c r="D19" s="30"/>
      <c r="E19" s="18"/>
      <c r="F19" s="6" cm="1">
        <f t="array" ref="F19">PercentageOfCurrentPeriod($C19,$D19,F$4)*$B19*hours_per_month</f>
        <v>0</v>
      </c>
      <c r="G19" s="6" cm="1">
        <f t="array" ref="G19">PercentageOfCurrentPeriod($C19,$D19,G$4)*$B19*hours_per_month</f>
        <v>0</v>
      </c>
      <c r="H19" s="6" cm="1">
        <f t="array" ref="H19">PercentageOfCurrentPeriod($C19,$D19,H$4)*$B19*hours_per_month</f>
        <v>0</v>
      </c>
      <c r="I19" s="6" cm="1">
        <f t="array" ref="I19">PercentageOfCurrentPeriod($C19,$D19,I$4)*$B19*hours_per_month</f>
        <v>0</v>
      </c>
      <c r="J19" s="6" cm="1">
        <f t="array" ref="J19">PercentageOfCurrentPeriod($C19,$D19,J$4)*$B19*hours_per_month</f>
        <v>0</v>
      </c>
      <c r="K19" s="6" cm="1">
        <f t="array" ref="K19">PercentageOfCurrentPeriod($C19,$D19,K$4)*$B19*hours_per_month</f>
        <v>0</v>
      </c>
      <c r="L19" s="6" cm="1">
        <f t="array" ref="L19">PercentageOfCurrentPeriod($C19,$D19,L$4)*$B19*hours_per_month</f>
        <v>0</v>
      </c>
      <c r="M19" s="6" cm="1">
        <f t="array" ref="M19">PercentageOfCurrentPeriod($C19,$D19,M$4)*$B19*hours_per_month</f>
        <v>0</v>
      </c>
      <c r="N19" s="6" cm="1">
        <f t="array" ref="N19">PercentageOfCurrentPeriod($C19,$D19,N$4)*$B19*hours_per_month</f>
        <v>0</v>
      </c>
      <c r="O19" s="6" cm="1">
        <f t="array" ref="O19">PercentageOfCurrentPeriod($C19,$D19,O$4)*$B19*hours_per_month</f>
        <v>0</v>
      </c>
      <c r="P19" s="6" cm="1">
        <f t="array" ref="P19">PercentageOfCurrentPeriod($C19,$D19,P$4)*$B19*hours_per_month</f>
        <v>0</v>
      </c>
      <c r="Q19" s="6" cm="1">
        <f t="array" ref="Q19">PercentageOfCurrentPeriod($C19,$D19,Q$4)*$B19*hours_per_month</f>
        <v>0</v>
      </c>
      <c r="R19" s="6" cm="1">
        <f t="array" ref="R19">PercentageOfCurrentPeriod($C19,$D19,R$4)*$B19*hours_per_month</f>
        <v>0</v>
      </c>
      <c r="S19" s="6" cm="1">
        <f t="array" ref="S19">PercentageOfCurrentPeriod($C19,$D19,S$4)*$B19*hours_per_month</f>
        <v>0</v>
      </c>
      <c r="T19" s="6" cm="1">
        <f t="array" ref="T19">PercentageOfCurrentPeriod($C19,$D19,T$4)*$B19*hours_per_month</f>
        <v>0</v>
      </c>
      <c r="U19" s="6" cm="1">
        <f t="array" ref="U19">PercentageOfCurrentPeriod($C19,$D19,U$4)*$B19*hours_per_month</f>
        <v>0</v>
      </c>
      <c r="V19" s="6" cm="1">
        <f t="array" ref="V19">PercentageOfCurrentPeriod($C19,$D19,V$4)*$B19*hours_per_month</f>
        <v>0</v>
      </c>
      <c r="W19" s="6" cm="1">
        <f t="array" ref="W19">PercentageOfCurrentPeriod($C19,$D19,W$4)*$B19*hours_per_month</f>
        <v>0</v>
      </c>
      <c r="X19" s="6" cm="1">
        <f t="array" ref="X19">PercentageOfCurrentPeriod($C19,$D19,X$4)*$B19*hours_per_month</f>
        <v>0</v>
      </c>
      <c r="Y19" s="6" cm="1">
        <f t="array" ref="Y19">PercentageOfCurrentPeriod($C19,$D19,Y$4)*$B19*hours_per_month</f>
        <v>0</v>
      </c>
      <c r="Z19" s="6" cm="1">
        <f t="array" ref="Z19">PercentageOfCurrentPeriod($C19,$D19,Z$4)*$B19*hours_per_month</f>
        <v>0</v>
      </c>
      <c r="AA19" s="6" cm="1">
        <f t="array" ref="AA19">PercentageOfCurrentPeriod($C19,$D19,AA$4)*$B19*hours_per_month</f>
        <v>0</v>
      </c>
      <c r="AB19" s="6" cm="1">
        <f t="array" ref="AB19">PercentageOfCurrentPeriod($C19,$D19,AB$4)*$B19*hours_per_month</f>
        <v>0</v>
      </c>
    </row>
    <row r="20" spans="1:28" x14ac:dyDescent="0.25">
      <c r="A20" s="28"/>
      <c r="B20" s="3"/>
      <c r="C20" s="3"/>
      <c r="D20" s="30"/>
      <c r="E20" s="18"/>
      <c r="F20" s="6" cm="1">
        <f t="array" ref="F20">PercentageOfCurrentPeriod($C20,$D20,F$4)*$B20*hours_per_month</f>
        <v>0</v>
      </c>
      <c r="G20" s="6" cm="1">
        <f t="array" ref="G20">PercentageOfCurrentPeriod($C20,$D20,G$4)*$B20*hours_per_month</f>
        <v>0</v>
      </c>
      <c r="H20" s="6" cm="1">
        <f t="array" ref="H20">PercentageOfCurrentPeriod($C20,$D20,H$4)*$B20*hours_per_month</f>
        <v>0</v>
      </c>
      <c r="I20" s="6" cm="1">
        <f t="array" ref="I20">PercentageOfCurrentPeriod($C20,$D20,I$4)*$B20*hours_per_month</f>
        <v>0</v>
      </c>
      <c r="J20" s="6" cm="1">
        <f t="array" ref="J20">PercentageOfCurrentPeriod($C20,$D20,J$4)*$B20*hours_per_month</f>
        <v>0</v>
      </c>
      <c r="K20" s="6" cm="1">
        <f t="array" ref="K20">PercentageOfCurrentPeriod($C20,$D20,K$4)*$B20*hours_per_month</f>
        <v>0</v>
      </c>
      <c r="L20" s="6" cm="1">
        <f t="array" ref="L20">PercentageOfCurrentPeriod($C20,$D20,L$4)*$B20*hours_per_month</f>
        <v>0</v>
      </c>
      <c r="M20" s="6" cm="1">
        <f t="array" ref="M20">PercentageOfCurrentPeriod($C20,$D20,M$4)*$B20*hours_per_month</f>
        <v>0</v>
      </c>
      <c r="N20" s="6" cm="1">
        <f t="array" ref="N20">PercentageOfCurrentPeriod($C20,$D20,N$4)*$B20*hours_per_month</f>
        <v>0</v>
      </c>
      <c r="O20" s="6" cm="1">
        <f t="array" ref="O20">PercentageOfCurrentPeriod($C20,$D20,O$4)*$B20*hours_per_month</f>
        <v>0</v>
      </c>
      <c r="P20" s="6" cm="1">
        <f t="array" ref="P20">PercentageOfCurrentPeriod($C20,$D20,P$4)*$B20*hours_per_month</f>
        <v>0</v>
      </c>
      <c r="Q20" s="6" cm="1">
        <f t="array" ref="Q20">PercentageOfCurrentPeriod($C20,$D20,Q$4)*$B20*hours_per_month</f>
        <v>0</v>
      </c>
      <c r="R20" s="6" cm="1">
        <f t="array" ref="R20">PercentageOfCurrentPeriod($C20,$D20,R$4)*$B20*hours_per_month</f>
        <v>0</v>
      </c>
      <c r="S20" s="6" cm="1">
        <f t="array" ref="S20">PercentageOfCurrentPeriod($C20,$D20,S$4)*$B20*hours_per_month</f>
        <v>0</v>
      </c>
      <c r="T20" s="6" cm="1">
        <f t="array" ref="T20">PercentageOfCurrentPeriod($C20,$D20,T$4)*$B20*hours_per_month</f>
        <v>0</v>
      </c>
      <c r="U20" s="6" cm="1">
        <f t="array" ref="U20">PercentageOfCurrentPeriod($C20,$D20,U$4)*$B20*hours_per_month</f>
        <v>0</v>
      </c>
      <c r="V20" s="6" cm="1">
        <f t="array" ref="V20">PercentageOfCurrentPeriod($C20,$D20,V$4)*$B20*hours_per_month</f>
        <v>0</v>
      </c>
      <c r="W20" s="6" cm="1">
        <f t="array" ref="W20">PercentageOfCurrentPeriod($C20,$D20,W$4)*$B20*hours_per_month</f>
        <v>0</v>
      </c>
      <c r="X20" s="6" cm="1">
        <f t="array" ref="X20">PercentageOfCurrentPeriod($C20,$D20,X$4)*$B20*hours_per_month</f>
        <v>0</v>
      </c>
      <c r="Y20" s="6" cm="1">
        <f t="array" ref="Y20">PercentageOfCurrentPeriod($C20,$D20,Y$4)*$B20*hours_per_month</f>
        <v>0</v>
      </c>
      <c r="Z20" s="6" cm="1">
        <f t="array" ref="Z20">PercentageOfCurrentPeriod($C20,$D20,Z$4)*$B20*hours_per_month</f>
        <v>0</v>
      </c>
      <c r="AA20" s="6" cm="1">
        <f t="array" ref="AA20">PercentageOfCurrentPeriod($C20,$D20,AA$4)*$B20*hours_per_month</f>
        <v>0</v>
      </c>
      <c r="AB20" s="6" cm="1">
        <f t="array" ref="AB20">PercentageOfCurrentPeriod($C20,$D20,AB$4)*$B20*hours_per_month</f>
        <v>0</v>
      </c>
    </row>
    <row r="21" spans="1:28" x14ac:dyDescent="0.25">
      <c r="A21" s="28"/>
      <c r="B21" s="3"/>
      <c r="C21" s="3"/>
      <c r="D21" s="30"/>
      <c r="E21" s="18"/>
      <c r="F21" s="6" cm="1">
        <f t="array" ref="F21">PercentageOfCurrentPeriod($C21,$D21,F$4)*$B21*hours_per_month</f>
        <v>0</v>
      </c>
      <c r="G21" s="6" cm="1">
        <f t="array" ref="G21">PercentageOfCurrentPeriod($C21,$D21,G$4)*$B21*hours_per_month</f>
        <v>0</v>
      </c>
      <c r="H21" s="6" cm="1">
        <f t="array" ref="H21">PercentageOfCurrentPeriod($C21,$D21,H$4)*$B21*hours_per_month</f>
        <v>0</v>
      </c>
      <c r="I21" s="6" cm="1">
        <f t="array" ref="I21">PercentageOfCurrentPeriod($C21,$D21,I$4)*$B21*hours_per_month</f>
        <v>0</v>
      </c>
      <c r="J21" s="6" cm="1">
        <f t="array" ref="J21">PercentageOfCurrentPeriod($C21,$D21,J$4)*$B21*hours_per_month</f>
        <v>0</v>
      </c>
      <c r="K21" s="6" cm="1">
        <f t="array" ref="K21">PercentageOfCurrentPeriod($C21,$D21,K$4)*$B21*hours_per_month</f>
        <v>0</v>
      </c>
      <c r="L21" s="6" cm="1">
        <f t="array" ref="L21">PercentageOfCurrentPeriod($C21,$D21,L$4)*$B21*hours_per_month</f>
        <v>0</v>
      </c>
      <c r="M21" s="6" cm="1">
        <f t="array" ref="M21">PercentageOfCurrentPeriod($C21,$D21,M$4)*$B21*hours_per_month</f>
        <v>0</v>
      </c>
      <c r="N21" s="6" cm="1">
        <f t="array" ref="N21">PercentageOfCurrentPeriod($C21,$D21,N$4)*$B21*hours_per_month</f>
        <v>0</v>
      </c>
      <c r="O21" s="6" cm="1">
        <f t="array" ref="O21">PercentageOfCurrentPeriod($C21,$D21,O$4)*$B21*hours_per_month</f>
        <v>0</v>
      </c>
      <c r="P21" s="6" cm="1">
        <f t="array" ref="P21">PercentageOfCurrentPeriod($C21,$D21,P$4)*$B21*hours_per_month</f>
        <v>0</v>
      </c>
      <c r="Q21" s="6" cm="1">
        <f t="array" ref="Q21">PercentageOfCurrentPeriod($C21,$D21,Q$4)*$B21*hours_per_month</f>
        <v>0</v>
      </c>
      <c r="R21" s="6" cm="1">
        <f t="array" ref="R21">PercentageOfCurrentPeriod($C21,$D21,R$4)*$B21*hours_per_month</f>
        <v>0</v>
      </c>
      <c r="S21" s="6" cm="1">
        <f t="array" ref="S21">PercentageOfCurrentPeriod($C21,$D21,S$4)*$B21*hours_per_month</f>
        <v>0</v>
      </c>
      <c r="T21" s="6" cm="1">
        <f t="array" ref="T21">PercentageOfCurrentPeriod($C21,$D21,T$4)*$B21*hours_per_month</f>
        <v>0</v>
      </c>
      <c r="U21" s="6" cm="1">
        <f t="array" ref="U21">PercentageOfCurrentPeriod($C21,$D21,U$4)*$B21*hours_per_month</f>
        <v>0</v>
      </c>
      <c r="V21" s="6" cm="1">
        <f t="array" ref="V21">PercentageOfCurrentPeriod($C21,$D21,V$4)*$B21*hours_per_month</f>
        <v>0</v>
      </c>
      <c r="W21" s="6" cm="1">
        <f t="array" ref="W21">PercentageOfCurrentPeriod($C21,$D21,W$4)*$B21*hours_per_month</f>
        <v>0</v>
      </c>
      <c r="X21" s="6" cm="1">
        <f t="array" ref="X21">PercentageOfCurrentPeriod($C21,$D21,X$4)*$B21*hours_per_month</f>
        <v>0</v>
      </c>
      <c r="Y21" s="6" cm="1">
        <f t="array" ref="Y21">PercentageOfCurrentPeriod($C21,$D21,Y$4)*$B21*hours_per_month</f>
        <v>0</v>
      </c>
      <c r="Z21" s="6" cm="1">
        <f t="array" ref="Z21">PercentageOfCurrentPeriod($C21,$D21,Z$4)*$B21*hours_per_month</f>
        <v>0</v>
      </c>
      <c r="AA21" s="6" cm="1">
        <f t="array" ref="AA21">PercentageOfCurrentPeriod($C21,$D21,AA$4)*$B21*hours_per_month</f>
        <v>0</v>
      </c>
      <c r="AB21" s="6" cm="1">
        <f t="array" ref="AB21">PercentageOfCurrentPeriod($C21,$D21,AB$4)*$B21*hours_per_month</f>
        <v>0</v>
      </c>
    </row>
    <row r="22" spans="1:28" x14ac:dyDescent="0.25">
      <c r="A22" s="28"/>
      <c r="B22" s="3"/>
      <c r="C22" s="3"/>
      <c r="D22" s="30"/>
      <c r="E22" s="18"/>
      <c r="F22" s="6" cm="1">
        <f t="array" ref="F22">PercentageOfCurrentPeriod($C22,$D22,F$4)*$B22*hours_per_month</f>
        <v>0</v>
      </c>
      <c r="G22" s="6" cm="1">
        <f t="array" ref="G22">PercentageOfCurrentPeriod($C22,$D22,G$4)*$B22*hours_per_month</f>
        <v>0</v>
      </c>
      <c r="H22" s="6" cm="1">
        <f t="array" ref="H22">PercentageOfCurrentPeriod($C22,$D22,H$4)*$B22*hours_per_month</f>
        <v>0</v>
      </c>
      <c r="I22" s="6" cm="1">
        <f t="array" ref="I22">PercentageOfCurrentPeriod($C22,$D22,I$4)*$B22*hours_per_month</f>
        <v>0</v>
      </c>
      <c r="J22" s="6" cm="1">
        <f t="array" ref="J22">PercentageOfCurrentPeriod($C22,$D22,J$4)*$B22*hours_per_month</f>
        <v>0</v>
      </c>
      <c r="K22" s="6" cm="1">
        <f t="array" ref="K22">PercentageOfCurrentPeriod($C22,$D22,K$4)*$B22*hours_per_month</f>
        <v>0</v>
      </c>
      <c r="L22" s="6" cm="1">
        <f t="array" ref="L22">PercentageOfCurrentPeriod($C22,$D22,L$4)*$B22*hours_per_month</f>
        <v>0</v>
      </c>
      <c r="M22" s="6" cm="1">
        <f t="array" ref="M22">PercentageOfCurrentPeriod($C22,$D22,M$4)*$B22*hours_per_month</f>
        <v>0</v>
      </c>
      <c r="N22" s="6" cm="1">
        <f t="array" ref="N22">PercentageOfCurrentPeriod($C22,$D22,N$4)*$B22*hours_per_month</f>
        <v>0</v>
      </c>
      <c r="O22" s="6" cm="1">
        <f t="array" ref="O22">PercentageOfCurrentPeriod($C22,$D22,O$4)*$B22*hours_per_month</f>
        <v>0</v>
      </c>
      <c r="P22" s="6" cm="1">
        <f t="array" ref="P22">PercentageOfCurrentPeriod($C22,$D22,P$4)*$B22*hours_per_month</f>
        <v>0</v>
      </c>
      <c r="Q22" s="6" cm="1">
        <f t="array" ref="Q22">PercentageOfCurrentPeriod($C22,$D22,Q$4)*$B22*hours_per_month</f>
        <v>0</v>
      </c>
      <c r="R22" s="6" cm="1">
        <f t="array" ref="R22">PercentageOfCurrentPeriod($C22,$D22,R$4)*$B22*hours_per_month</f>
        <v>0</v>
      </c>
      <c r="S22" s="6" cm="1">
        <f t="array" ref="S22">PercentageOfCurrentPeriod($C22,$D22,S$4)*$B22*hours_per_month</f>
        <v>0</v>
      </c>
      <c r="T22" s="6" cm="1">
        <f t="array" ref="T22">PercentageOfCurrentPeriod($C22,$D22,T$4)*$B22*hours_per_month</f>
        <v>0</v>
      </c>
      <c r="U22" s="6" cm="1">
        <f t="array" ref="U22">PercentageOfCurrentPeriod($C22,$D22,U$4)*$B22*hours_per_month</f>
        <v>0</v>
      </c>
      <c r="V22" s="6" cm="1">
        <f t="array" ref="V22">PercentageOfCurrentPeriod($C22,$D22,V$4)*$B22*hours_per_month</f>
        <v>0</v>
      </c>
      <c r="W22" s="6" cm="1">
        <f t="array" ref="W22">PercentageOfCurrentPeriod($C22,$D22,W$4)*$B22*hours_per_month</f>
        <v>0</v>
      </c>
      <c r="X22" s="6" cm="1">
        <f t="array" ref="X22">PercentageOfCurrentPeriod($C22,$D22,X$4)*$B22*hours_per_month</f>
        <v>0</v>
      </c>
      <c r="Y22" s="6" cm="1">
        <f t="array" ref="Y22">PercentageOfCurrentPeriod($C22,$D22,Y$4)*$B22*hours_per_month</f>
        <v>0</v>
      </c>
      <c r="Z22" s="6" cm="1">
        <f t="array" ref="Z22">PercentageOfCurrentPeriod($C22,$D22,Z$4)*$B22*hours_per_month</f>
        <v>0</v>
      </c>
      <c r="AA22" s="6" cm="1">
        <f t="array" ref="AA22">PercentageOfCurrentPeriod($C22,$D22,AA$4)*$B22*hours_per_month</f>
        <v>0</v>
      </c>
      <c r="AB22" s="6" cm="1">
        <f t="array" ref="AB22">PercentageOfCurrentPeriod($C22,$D22,AB$4)*$B22*hours_per_month</f>
        <v>0</v>
      </c>
    </row>
    <row r="23" spans="1:28" x14ac:dyDescent="0.25">
      <c r="A23" s="28"/>
      <c r="B23" s="3"/>
      <c r="C23" s="3"/>
      <c r="D23" s="30"/>
      <c r="E23" s="18"/>
      <c r="F23" s="6" cm="1">
        <f t="array" ref="F23">PercentageOfCurrentPeriod($C23,$D23,F$4)*$B23*hours_per_month</f>
        <v>0</v>
      </c>
      <c r="G23" s="6" cm="1">
        <f t="array" ref="G23">PercentageOfCurrentPeriod($C23,$D23,G$4)*$B23*hours_per_month</f>
        <v>0</v>
      </c>
      <c r="H23" s="6" cm="1">
        <f t="array" ref="H23">PercentageOfCurrentPeriod($C23,$D23,H$4)*$B23*hours_per_month</f>
        <v>0</v>
      </c>
      <c r="I23" s="6" cm="1">
        <f t="array" ref="I23">PercentageOfCurrentPeriod($C23,$D23,I$4)*$B23*hours_per_month</f>
        <v>0</v>
      </c>
      <c r="J23" s="6" cm="1">
        <f t="array" ref="J23">PercentageOfCurrentPeriod($C23,$D23,J$4)*$B23*hours_per_month</f>
        <v>0</v>
      </c>
      <c r="K23" s="6" cm="1">
        <f t="array" ref="K23">PercentageOfCurrentPeriod($C23,$D23,K$4)*$B23*hours_per_month</f>
        <v>0</v>
      </c>
      <c r="L23" s="6" cm="1">
        <f t="array" ref="L23">PercentageOfCurrentPeriod($C23,$D23,L$4)*$B23*hours_per_month</f>
        <v>0</v>
      </c>
      <c r="M23" s="6" cm="1">
        <f t="array" ref="M23">PercentageOfCurrentPeriod($C23,$D23,M$4)*$B23*hours_per_month</f>
        <v>0</v>
      </c>
      <c r="N23" s="6" cm="1">
        <f t="array" ref="N23">PercentageOfCurrentPeriod($C23,$D23,N$4)*$B23*hours_per_month</f>
        <v>0</v>
      </c>
      <c r="O23" s="6" cm="1">
        <f t="array" ref="O23">PercentageOfCurrentPeriod($C23,$D23,O$4)*$B23*hours_per_month</f>
        <v>0</v>
      </c>
      <c r="P23" s="6" cm="1">
        <f t="array" ref="P23">PercentageOfCurrentPeriod($C23,$D23,P$4)*$B23*hours_per_month</f>
        <v>0</v>
      </c>
      <c r="Q23" s="6" cm="1">
        <f t="array" ref="Q23">PercentageOfCurrentPeriod($C23,$D23,Q$4)*$B23*hours_per_month</f>
        <v>0</v>
      </c>
      <c r="R23" s="6" cm="1">
        <f t="array" ref="R23">PercentageOfCurrentPeriod($C23,$D23,R$4)*$B23*hours_per_month</f>
        <v>0</v>
      </c>
      <c r="S23" s="6" cm="1">
        <f t="array" ref="S23">PercentageOfCurrentPeriod($C23,$D23,S$4)*$B23*hours_per_month</f>
        <v>0</v>
      </c>
      <c r="T23" s="6" cm="1">
        <f t="array" ref="T23">PercentageOfCurrentPeriod($C23,$D23,T$4)*$B23*hours_per_month</f>
        <v>0</v>
      </c>
      <c r="U23" s="6" cm="1">
        <f t="array" ref="U23">PercentageOfCurrentPeriod($C23,$D23,U$4)*$B23*hours_per_month</f>
        <v>0</v>
      </c>
      <c r="V23" s="6" cm="1">
        <f t="array" ref="V23">PercentageOfCurrentPeriod($C23,$D23,V$4)*$B23*hours_per_month</f>
        <v>0</v>
      </c>
      <c r="W23" s="6" cm="1">
        <f t="array" ref="W23">PercentageOfCurrentPeriod($C23,$D23,W$4)*$B23*hours_per_month</f>
        <v>0</v>
      </c>
      <c r="X23" s="6" cm="1">
        <f t="array" ref="X23">PercentageOfCurrentPeriod($C23,$D23,X$4)*$B23*hours_per_month</f>
        <v>0</v>
      </c>
      <c r="Y23" s="6" cm="1">
        <f t="array" ref="Y23">PercentageOfCurrentPeriod($C23,$D23,Y$4)*$B23*hours_per_month</f>
        <v>0</v>
      </c>
      <c r="Z23" s="6" cm="1">
        <f t="array" ref="Z23">PercentageOfCurrentPeriod($C23,$D23,Z$4)*$B23*hours_per_month</f>
        <v>0</v>
      </c>
      <c r="AA23" s="6" cm="1">
        <f t="array" ref="AA23">PercentageOfCurrentPeriod($C23,$D23,AA$4)*$B23*hours_per_month</f>
        <v>0</v>
      </c>
      <c r="AB23" s="6" cm="1">
        <f t="array" ref="AB23">PercentageOfCurrentPeriod($C23,$D23,AB$4)*$B23*hours_per_month</f>
        <v>0</v>
      </c>
    </row>
    <row r="24" spans="1:28" x14ac:dyDescent="0.25">
      <c r="A24" s="28"/>
      <c r="B24" s="3"/>
      <c r="C24" s="3"/>
      <c r="D24" s="30"/>
      <c r="E24" s="18"/>
      <c r="F24" s="6" cm="1">
        <f t="array" ref="F24">PercentageOfCurrentPeriod($C24,$D24,F$4)*$B24*hours_per_month</f>
        <v>0</v>
      </c>
      <c r="G24" s="6" cm="1">
        <f t="array" ref="G24">PercentageOfCurrentPeriod($C24,$D24,G$4)*$B24*hours_per_month</f>
        <v>0</v>
      </c>
      <c r="H24" s="6" cm="1">
        <f t="array" ref="H24">PercentageOfCurrentPeriod($C24,$D24,H$4)*$B24*hours_per_month</f>
        <v>0</v>
      </c>
      <c r="I24" s="6" cm="1">
        <f t="array" ref="I24">PercentageOfCurrentPeriod($C24,$D24,I$4)*$B24*hours_per_month</f>
        <v>0</v>
      </c>
      <c r="J24" s="6" cm="1">
        <f t="array" ref="J24">PercentageOfCurrentPeriod($C24,$D24,J$4)*$B24*hours_per_month</f>
        <v>0</v>
      </c>
      <c r="K24" s="6" cm="1">
        <f t="array" ref="K24">PercentageOfCurrentPeriod($C24,$D24,K$4)*$B24*hours_per_month</f>
        <v>0</v>
      </c>
      <c r="L24" s="6" cm="1">
        <f t="array" ref="L24">PercentageOfCurrentPeriod($C24,$D24,L$4)*$B24*hours_per_month</f>
        <v>0</v>
      </c>
      <c r="M24" s="6" cm="1">
        <f t="array" ref="M24">PercentageOfCurrentPeriod($C24,$D24,M$4)*$B24*hours_per_month</f>
        <v>0</v>
      </c>
      <c r="N24" s="6" cm="1">
        <f t="array" ref="N24">PercentageOfCurrentPeriod($C24,$D24,N$4)*$B24*hours_per_month</f>
        <v>0</v>
      </c>
      <c r="O24" s="6" cm="1">
        <f t="array" ref="O24">PercentageOfCurrentPeriod($C24,$D24,O$4)*$B24*hours_per_month</f>
        <v>0</v>
      </c>
      <c r="P24" s="6" cm="1">
        <f t="array" ref="P24">PercentageOfCurrentPeriod($C24,$D24,P$4)*$B24*hours_per_month</f>
        <v>0</v>
      </c>
      <c r="Q24" s="6" cm="1">
        <f t="array" ref="Q24">PercentageOfCurrentPeriod($C24,$D24,Q$4)*$B24*hours_per_month</f>
        <v>0</v>
      </c>
      <c r="R24" s="6" cm="1">
        <f t="array" ref="R24">PercentageOfCurrentPeriod($C24,$D24,R$4)*$B24*hours_per_month</f>
        <v>0</v>
      </c>
      <c r="S24" s="6" cm="1">
        <f t="array" ref="S24">PercentageOfCurrentPeriod($C24,$D24,S$4)*$B24*hours_per_month</f>
        <v>0</v>
      </c>
      <c r="T24" s="6" cm="1">
        <f t="array" ref="T24">PercentageOfCurrentPeriod($C24,$D24,T$4)*$B24*hours_per_month</f>
        <v>0</v>
      </c>
      <c r="U24" s="6" cm="1">
        <f t="array" ref="U24">PercentageOfCurrentPeriod($C24,$D24,U$4)*$B24*hours_per_month</f>
        <v>0</v>
      </c>
      <c r="V24" s="6" cm="1">
        <f t="array" ref="V24">PercentageOfCurrentPeriod($C24,$D24,V$4)*$B24*hours_per_month</f>
        <v>0</v>
      </c>
      <c r="W24" s="6" cm="1">
        <f t="array" ref="W24">PercentageOfCurrentPeriod($C24,$D24,W$4)*$B24*hours_per_month</f>
        <v>0</v>
      </c>
      <c r="X24" s="6" cm="1">
        <f t="array" ref="X24">PercentageOfCurrentPeriod($C24,$D24,X$4)*$B24*hours_per_month</f>
        <v>0</v>
      </c>
      <c r="Y24" s="6" cm="1">
        <f t="array" ref="Y24">PercentageOfCurrentPeriod($C24,$D24,Y$4)*$B24*hours_per_month</f>
        <v>0</v>
      </c>
      <c r="Z24" s="6" cm="1">
        <f t="array" ref="Z24">PercentageOfCurrentPeriod($C24,$D24,Z$4)*$B24*hours_per_month</f>
        <v>0</v>
      </c>
      <c r="AA24" s="6" cm="1">
        <f t="array" ref="AA24">PercentageOfCurrentPeriod($C24,$D24,AA$4)*$B24*hours_per_month</f>
        <v>0</v>
      </c>
      <c r="AB24" s="6" cm="1">
        <f t="array" ref="AB24">PercentageOfCurrentPeriod($C24,$D24,AB$4)*$B24*hours_per_month</f>
        <v>0</v>
      </c>
    </row>
    <row r="25" spans="1:28" x14ac:dyDescent="0.25">
      <c r="A25" s="28"/>
      <c r="B25" s="3"/>
      <c r="C25" s="3"/>
      <c r="D25" s="30"/>
      <c r="E25" s="18"/>
      <c r="F25" s="6" cm="1">
        <f t="array" ref="F25">PercentageOfCurrentPeriod($C25,$D25,F$4)*$B25*hours_per_month</f>
        <v>0</v>
      </c>
      <c r="G25" s="6" cm="1">
        <f t="array" ref="G25">PercentageOfCurrentPeriod($C25,$D25,G$4)*$B25*hours_per_month</f>
        <v>0</v>
      </c>
      <c r="H25" s="6" cm="1">
        <f t="array" ref="H25">PercentageOfCurrentPeriod($C25,$D25,H$4)*$B25*hours_per_month</f>
        <v>0</v>
      </c>
      <c r="I25" s="6" cm="1">
        <f t="array" ref="I25">PercentageOfCurrentPeriod($C25,$D25,I$4)*$B25*hours_per_month</f>
        <v>0</v>
      </c>
      <c r="J25" s="6" cm="1">
        <f t="array" ref="J25">PercentageOfCurrentPeriod($C25,$D25,J$4)*$B25*hours_per_month</f>
        <v>0</v>
      </c>
      <c r="K25" s="6" cm="1">
        <f t="array" ref="K25">PercentageOfCurrentPeriod($C25,$D25,K$4)*$B25*hours_per_month</f>
        <v>0</v>
      </c>
      <c r="L25" s="6" cm="1">
        <f t="array" ref="L25">PercentageOfCurrentPeriod($C25,$D25,L$4)*$B25*hours_per_month</f>
        <v>0</v>
      </c>
      <c r="M25" s="6" cm="1">
        <f t="array" ref="M25">PercentageOfCurrentPeriod($C25,$D25,M$4)*$B25*hours_per_month</f>
        <v>0</v>
      </c>
      <c r="N25" s="6" cm="1">
        <f t="array" ref="N25">PercentageOfCurrentPeriod($C25,$D25,N$4)*$B25*hours_per_month</f>
        <v>0</v>
      </c>
      <c r="O25" s="6" cm="1">
        <f t="array" ref="O25">PercentageOfCurrentPeriod($C25,$D25,O$4)*$B25*hours_per_month</f>
        <v>0</v>
      </c>
      <c r="P25" s="6" cm="1">
        <f t="array" ref="P25">PercentageOfCurrentPeriod($C25,$D25,P$4)*$B25*hours_per_month</f>
        <v>0</v>
      </c>
      <c r="Q25" s="6" cm="1">
        <f t="array" ref="Q25">PercentageOfCurrentPeriod($C25,$D25,Q$4)*$B25*hours_per_month</f>
        <v>0</v>
      </c>
      <c r="R25" s="6" cm="1">
        <f t="array" ref="R25">PercentageOfCurrentPeriod($C25,$D25,R$4)*$B25*hours_per_month</f>
        <v>0</v>
      </c>
      <c r="S25" s="6" cm="1">
        <f t="array" ref="S25">PercentageOfCurrentPeriod($C25,$D25,S$4)*$B25*hours_per_month</f>
        <v>0</v>
      </c>
      <c r="T25" s="6" cm="1">
        <f t="array" ref="T25">PercentageOfCurrentPeriod($C25,$D25,T$4)*$B25*hours_per_month</f>
        <v>0</v>
      </c>
      <c r="U25" s="6" cm="1">
        <f t="array" ref="U25">PercentageOfCurrentPeriod($C25,$D25,U$4)*$B25*hours_per_month</f>
        <v>0</v>
      </c>
      <c r="V25" s="6" cm="1">
        <f t="array" ref="V25">PercentageOfCurrentPeriod($C25,$D25,V$4)*$B25*hours_per_month</f>
        <v>0</v>
      </c>
      <c r="W25" s="6" cm="1">
        <f t="array" ref="W25">PercentageOfCurrentPeriod($C25,$D25,W$4)*$B25*hours_per_month</f>
        <v>0</v>
      </c>
      <c r="X25" s="6" cm="1">
        <f t="array" ref="X25">PercentageOfCurrentPeriod($C25,$D25,X$4)*$B25*hours_per_month</f>
        <v>0</v>
      </c>
      <c r="Y25" s="6" cm="1">
        <f t="array" ref="Y25">PercentageOfCurrentPeriod($C25,$D25,Y$4)*$B25*hours_per_month</f>
        <v>0</v>
      </c>
      <c r="Z25" s="6" cm="1">
        <f t="array" ref="Z25">PercentageOfCurrentPeriod($C25,$D25,Z$4)*$B25*hours_per_month</f>
        <v>0</v>
      </c>
      <c r="AA25" s="6" cm="1">
        <f t="array" ref="AA25">PercentageOfCurrentPeriod($C25,$D25,AA$4)*$B25*hours_per_month</f>
        <v>0</v>
      </c>
      <c r="AB25" s="6" cm="1">
        <f t="array" ref="AB25">PercentageOfCurrentPeriod($C25,$D25,AB$4)*$B25*hours_per_month</f>
        <v>0</v>
      </c>
    </row>
    <row r="26" spans="1:28" x14ac:dyDescent="0.25">
      <c r="A26" s="28"/>
      <c r="B26" s="3"/>
      <c r="C26" s="3"/>
      <c r="D26" s="30"/>
      <c r="E26" s="18"/>
      <c r="F26" s="6" cm="1">
        <f t="array" ref="F26">PercentageOfCurrentPeriod($C26,$D26,F$4)*$B26*hours_per_month</f>
        <v>0</v>
      </c>
      <c r="G26" s="6" cm="1">
        <f t="array" ref="G26">PercentageOfCurrentPeriod($C26,$D26,G$4)*$B26*hours_per_month</f>
        <v>0</v>
      </c>
      <c r="H26" s="6" cm="1">
        <f t="array" ref="H26">PercentageOfCurrentPeriod($C26,$D26,H$4)*$B26*hours_per_month</f>
        <v>0</v>
      </c>
      <c r="I26" s="6" cm="1">
        <f t="array" ref="I26">PercentageOfCurrentPeriod($C26,$D26,I$4)*$B26*hours_per_month</f>
        <v>0</v>
      </c>
      <c r="J26" s="6" cm="1">
        <f t="array" ref="J26">PercentageOfCurrentPeriod($C26,$D26,J$4)*$B26*hours_per_month</f>
        <v>0</v>
      </c>
      <c r="K26" s="6" cm="1">
        <f t="array" ref="K26">PercentageOfCurrentPeriod($C26,$D26,K$4)*$B26*hours_per_month</f>
        <v>0</v>
      </c>
      <c r="L26" s="6" cm="1">
        <f t="array" ref="L26">PercentageOfCurrentPeriod($C26,$D26,L$4)*$B26*hours_per_month</f>
        <v>0</v>
      </c>
      <c r="M26" s="6" cm="1">
        <f t="array" ref="M26">PercentageOfCurrentPeriod($C26,$D26,M$4)*$B26*hours_per_month</f>
        <v>0</v>
      </c>
      <c r="N26" s="6" cm="1">
        <f t="array" ref="N26">PercentageOfCurrentPeriod($C26,$D26,N$4)*$B26*hours_per_month</f>
        <v>0</v>
      </c>
      <c r="O26" s="6" cm="1">
        <f t="array" ref="O26">PercentageOfCurrentPeriod($C26,$D26,O$4)*$B26*hours_per_month</f>
        <v>0</v>
      </c>
      <c r="P26" s="6" cm="1">
        <f t="array" ref="P26">PercentageOfCurrentPeriod($C26,$D26,P$4)*$B26*hours_per_month</f>
        <v>0</v>
      </c>
      <c r="Q26" s="6" cm="1">
        <f t="array" ref="Q26">PercentageOfCurrentPeriod($C26,$D26,Q$4)*$B26*hours_per_month</f>
        <v>0</v>
      </c>
      <c r="R26" s="6" cm="1">
        <f t="array" ref="R26">PercentageOfCurrentPeriod($C26,$D26,R$4)*$B26*hours_per_month</f>
        <v>0</v>
      </c>
      <c r="S26" s="6" cm="1">
        <f t="array" ref="S26">PercentageOfCurrentPeriod($C26,$D26,S$4)*$B26*hours_per_month</f>
        <v>0</v>
      </c>
      <c r="T26" s="6" cm="1">
        <f t="array" ref="T26">PercentageOfCurrentPeriod($C26,$D26,T$4)*$B26*hours_per_month</f>
        <v>0</v>
      </c>
      <c r="U26" s="6" cm="1">
        <f t="array" ref="U26">PercentageOfCurrentPeriod($C26,$D26,U$4)*$B26*hours_per_month</f>
        <v>0</v>
      </c>
      <c r="V26" s="6" cm="1">
        <f t="array" ref="V26">PercentageOfCurrentPeriod($C26,$D26,V$4)*$B26*hours_per_month</f>
        <v>0</v>
      </c>
      <c r="W26" s="6" cm="1">
        <f t="array" ref="W26">PercentageOfCurrentPeriod($C26,$D26,W$4)*$B26*hours_per_month</f>
        <v>0</v>
      </c>
      <c r="X26" s="6" cm="1">
        <f t="array" ref="X26">PercentageOfCurrentPeriod($C26,$D26,X$4)*$B26*hours_per_month</f>
        <v>0</v>
      </c>
      <c r="Y26" s="6" cm="1">
        <f t="array" ref="Y26">PercentageOfCurrentPeriod($C26,$D26,Y$4)*$B26*hours_per_month</f>
        <v>0</v>
      </c>
      <c r="Z26" s="6" cm="1">
        <f t="array" ref="Z26">PercentageOfCurrentPeriod($C26,$D26,Z$4)*$B26*hours_per_month</f>
        <v>0</v>
      </c>
      <c r="AA26" s="6" cm="1">
        <f t="array" ref="AA26">PercentageOfCurrentPeriod($C26,$D26,AA$4)*$B26*hours_per_month</f>
        <v>0</v>
      </c>
      <c r="AB26" s="6" cm="1">
        <f t="array" ref="AB26">PercentageOfCurrentPeriod($C26,$D26,AB$4)*$B26*hours_per_month</f>
        <v>0</v>
      </c>
    </row>
    <row r="27" spans="1:28" x14ac:dyDescent="0.25">
      <c r="A27" s="28"/>
      <c r="B27" s="3"/>
      <c r="C27" s="3"/>
      <c r="D27" s="30"/>
      <c r="E27" s="18"/>
      <c r="F27" s="6" cm="1">
        <f t="array" ref="F27">PercentageOfCurrentPeriod($C27,$D27,F$4)*$B27*hours_per_month</f>
        <v>0</v>
      </c>
      <c r="G27" s="6" cm="1">
        <f t="array" ref="G27">PercentageOfCurrentPeriod($C27,$D27,G$4)*$B27*hours_per_month</f>
        <v>0</v>
      </c>
      <c r="H27" s="6" cm="1">
        <f t="array" ref="H27">PercentageOfCurrentPeriod($C27,$D27,H$4)*$B27*hours_per_month</f>
        <v>0</v>
      </c>
      <c r="I27" s="6" cm="1">
        <f t="array" ref="I27">PercentageOfCurrentPeriod($C27,$D27,I$4)*$B27*hours_per_month</f>
        <v>0</v>
      </c>
      <c r="J27" s="6" cm="1">
        <f t="array" ref="J27">PercentageOfCurrentPeriod($C27,$D27,J$4)*$B27*hours_per_month</f>
        <v>0</v>
      </c>
      <c r="K27" s="6" cm="1">
        <f t="array" ref="K27">PercentageOfCurrentPeriod($C27,$D27,K$4)*$B27*hours_per_month</f>
        <v>0</v>
      </c>
      <c r="L27" s="6" cm="1">
        <f t="array" ref="L27">PercentageOfCurrentPeriod($C27,$D27,L$4)*$B27*hours_per_month</f>
        <v>0</v>
      </c>
      <c r="M27" s="6" cm="1">
        <f t="array" ref="M27">PercentageOfCurrentPeriod($C27,$D27,M$4)*$B27*hours_per_month</f>
        <v>0</v>
      </c>
      <c r="N27" s="6" cm="1">
        <f t="array" ref="N27">PercentageOfCurrentPeriod($C27,$D27,N$4)*$B27*hours_per_month</f>
        <v>0</v>
      </c>
      <c r="O27" s="6" cm="1">
        <f t="array" ref="O27">PercentageOfCurrentPeriod($C27,$D27,O$4)*$B27*hours_per_month</f>
        <v>0</v>
      </c>
      <c r="P27" s="6" cm="1">
        <f t="array" ref="P27">PercentageOfCurrentPeriod($C27,$D27,P$4)*$B27*hours_per_month</f>
        <v>0</v>
      </c>
      <c r="Q27" s="6" cm="1">
        <f t="array" ref="Q27">PercentageOfCurrentPeriod($C27,$D27,Q$4)*$B27*hours_per_month</f>
        <v>0</v>
      </c>
      <c r="R27" s="6" cm="1">
        <f t="array" ref="R27">PercentageOfCurrentPeriod($C27,$D27,R$4)*$B27*hours_per_month</f>
        <v>0</v>
      </c>
      <c r="S27" s="6" cm="1">
        <f t="array" ref="S27">PercentageOfCurrentPeriod($C27,$D27,S$4)*$B27*hours_per_month</f>
        <v>0</v>
      </c>
      <c r="T27" s="6" cm="1">
        <f t="array" ref="T27">PercentageOfCurrentPeriod($C27,$D27,T$4)*$B27*hours_per_month</f>
        <v>0</v>
      </c>
      <c r="U27" s="6" cm="1">
        <f t="array" ref="U27">PercentageOfCurrentPeriod($C27,$D27,U$4)*$B27*hours_per_month</f>
        <v>0</v>
      </c>
      <c r="V27" s="6" cm="1">
        <f t="array" ref="V27">PercentageOfCurrentPeriod($C27,$D27,V$4)*$B27*hours_per_month</f>
        <v>0</v>
      </c>
      <c r="W27" s="6" cm="1">
        <f t="array" ref="W27">PercentageOfCurrentPeriod($C27,$D27,W$4)*$B27*hours_per_month</f>
        <v>0</v>
      </c>
      <c r="X27" s="6" cm="1">
        <f t="array" ref="X27">PercentageOfCurrentPeriod($C27,$D27,X$4)*$B27*hours_per_month</f>
        <v>0</v>
      </c>
      <c r="Y27" s="6" cm="1">
        <f t="array" ref="Y27">PercentageOfCurrentPeriod($C27,$D27,Y$4)*$B27*hours_per_month</f>
        <v>0</v>
      </c>
      <c r="Z27" s="6" cm="1">
        <f t="array" ref="Z27">PercentageOfCurrentPeriod($C27,$D27,Z$4)*$B27*hours_per_month</f>
        <v>0</v>
      </c>
      <c r="AA27" s="6" cm="1">
        <f t="array" ref="AA27">PercentageOfCurrentPeriod($C27,$D27,AA$4)*$B27*hours_per_month</f>
        <v>0</v>
      </c>
      <c r="AB27" s="6" cm="1">
        <f t="array" ref="AB27">PercentageOfCurrentPeriod($C27,$D27,AB$4)*$B27*hours_per_month</f>
        <v>0</v>
      </c>
    </row>
    <row r="28" spans="1:28" x14ac:dyDescent="0.25">
      <c r="A28" s="28"/>
      <c r="B28" s="3"/>
      <c r="C28" s="3"/>
      <c r="D28" s="30"/>
      <c r="E28" s="18"/>
      <c r="F28" s="6" cm="1">
        <f t="array" ref="F28">PercentageOfCurrentPeriod($C28,$D28,F$4)*$B28*hours_per_month</f>
        <v>0</v>
      </c>
      <c r="G28" s="6" cm="1">
        <f t="array" ref="G28">PercentageOfCurrentPeriod($C28,$D28,G$4)*$B28*hours_per_month</f>
        <v>0</v>
      </c>
      <c r="H28" s="6" cm="1">
        <f t="array" ref="H28">PercentageOfCurrentPeriod($C28,$D28,H$4)*$B28*hours_per_month</f>
        <v>0</v>
      </c>
      <c r="I28" s="6" cm="1">
        <f t="array" ref="I28">PercentageOfCurrentPeriod($C28,$D28,I$4)*$B28*hours_per_month</f>
        <v>0</v>
      </c>
      <c r="J28" s="6" cm="1">
        <f t="array" ref="J28">PercentageOfCurrentPeriod($C28,$D28,J$4)*$B28*hours_per_month</f>
        <v>0</v>
      </c>
      <c r="K28" s="6" cm="1">
        <f t="array" ref="K28">PercentageOfCurrentPeriod($C28,$D28,K$4)*$B28*hours_per_month</f>
        <v>0</v>
      </c>
      <c r="L28" s="6" cm="1">
        <f t="array" ref="L28">PercentageOfCurrentPeriod($C28,$D28,L$4)*$B28*hours_per_month</f>
        <v>0</v>
      </c>
      <c r="M28" s="6" cm="1">
        <f t="array" ref="M28">PercentageOfCurrentPeriod($C28,$D28,M$4)*$B28*hours_per_month</f>
        <v>0</v>
      </c>
      <c r="N28" s="6" cm="1">
        <f t="array" ref="N28">PercentageOfCurrentPeriod($C28,$D28,N$4)*$B28*hours_per_month</f>
        <v>0</v>
      </c>
      <c r="O28" s="6" cm="1">
        <f t="array" ref="O28">PercentageOfCurrentPeriod($C28,$D28,O$4)*$B28*hours_per_month</f>
        <v>0</v>
      </c>
      <c r="P28" s="6" cm="1">
        <f t="array" ref="P28">PercentageOfCurrentPeriod($C28,$D28,P$4)*$B28*hours_per_month</f>
        <v>0</v>
      </c>
      <c r="Q28" s="6" cm="1">
        <f t="array" ref="Q28">PercentageOfCurrentPeriod($C28,$D28,Q$4)*$B28*hours_per_month</f>
        <v>0</v>
      </c>
      <c r="R28" s="6" cm="1">
        <f t="array" ref="R28">PercentageOfCurrentPeriod($C28,$D28,R$4)*$B28*hours_per_month</f>
        <v>0</v>
      </c>
      <c r="S28" s="6" cm="1">
        <f t="array" ref="S28">PercentageOfCurrentPeriod($C28,$D28,S$4)*$B28*hours_per_month</f>
        <v>0</v>
      </c>
      <c r="T28" s="6" cm="1">
        <f t="array" ref="T28">PercentageOfCurrentPeriod($C28,$D28,T$4)*$B28*hours_per_month</f>
        <v>0</v>
      </c>
      <c r="U28" s="6" cm="1">
        <f t="array" ref="U28">PercentageOfCurrentPeriod($C28,$D28,U$4)*$B28*hours_per_month</f>
        <v>0</v>
      </c>
      <c r="V28" s="6" cm="1">
        <f t="array" ref="V28">PercentageOfCurrentPeriod($C28,$D28,V$4)*$B28*hours_per_month</f>
        <v>0</v>
      </c>
      <c r="W28" s="6" cm="1">
        <f t="array" ref="W28">PercentageOfCurrentPeriod($C28,$D28,W$4)*$B28*hours_per_month</f>
        <v>0</v>
      </c>
      <c r="X28" s="6" cm="1">
        <f t="array" ref="X28">PercentageOfCurrentPeriod($C28,$D28,X$4)*$B28*hours_per_month</f>
        <v>0</v>
      </c>
      <c r="Y28" s="6" cm="1">
        <f t="array" ref="Y28">PercentageOfCurrentPeriod($C28,$D28,Y$4)*$B28*hours_per_month</f>
        <v>0</v>
      </c>
      <c r="Z28" s="6" cm="1">
        <f t="array" ref="Z28">PercentageOfCurrentPeriod($C28,$D28,Z$4)*$B28*hours_per_month</f>
        <v>0</v>
      </c>
      <c r="AA28" s="6" cm="1">
        <f t="array" ref="AA28">PercentageOfCurrentPeriod($C28,$D28,AA$4)*$B28*hours_per_month</f>
        <v>0</v>
      </c>
      <c r="AB28" s="6" cm="1">
        <f t="array" ref="AB28">PercentageOfCurrentPeriod($C28,$D28,AB$4)*$B28*hours_per_month</f>
        <v>0</v>
      </c>
    </row>
    <row r="29" spans="1:28" x14ac:dyDescent="0.25">
      <c r="A29" s="28"/>
      <c r="B29" s="3"/>
      <c r="C29" s="3"/>
      <c r="D29" s="30"/>
      <c r="E29" s="18"/>
      <c r="F29" s="6" cm="1">
        <f t="array" ref="F29">PercentageOfCurrentPeriod($C29,$D29,F$4)*$B29*hours_per_month</f>
        <v>0</v>
      </c>
      <c r="G29" s="6" cm="1">
        <f t="array" ref="G29">PercentageOfCurrentPeriod($C29,$D29,G$4)*$B29*hours_per_month</f>
        <v>0</v>
      </c>
      <c r="H29" s="6" cm="1">
        <f t="array" ref="H29">PercentageOfCurrentPeriod($C29,$D29,H$4)*$B29*hours_per_month</f>
        <v>0</v>
      </c>
      <c r="I29" s="6" cm="1">
        <f t="array" ref="I29">PercentageOfCurrentPeriod($C29,$D29,I$4)*$B29*hours_per_month</f>
        <v>0</v>
      </c>
      <c r="J29" s="6" cm="1">
        <f t="array" ref="J29">PercentageOfCurrentPeriod($C29,$D29,J$4)*$B29*hours_per_month</f>
        <v>0</v>
      </c>
      <c r="K29" s="6" cm="1">
        <f t="array" ref="K29">PercentageOfCurrentPeriod($C29,$D29,K$4)*$B29*hours_per_month</f>
        <v>0</v>
      </c>
      <c r="L29" s="6" cm="1">
        <f t="array" ref="L29">PercentageOfCurrentPeriod($C29,$D29,L$4)*$B29*hours_per_month</f>
        <v>0</v>
      </c>
      <c r="M29" s="6" cm="1">
        <f t="array" ref="M29">PercentageOfCurrentPeriod($C29,$D29,M$4)*$B29*hours_per_month</f>
        <v>0</v>
      </c>
      <c r="N29" s="6" cm="1">
        <f t="array" ref="N29">PercentageOfCurrentPeriod($C29,$D29,N$4)*$B29*hours_per_month</f>
        <v>0</v>
      </c>
      <c r="O29" s="6" cm="1">
        <f t="array" ref="O29">PercentageOfCurrentPeriod($C29,$D29,O$4)*$B29*hours_per_month</f>
        <v>0</v>
      </c>
      <c r="P29" s="6" cm="1">
        <f t="array" ref="P29">PercentageOfCurrentPeriod($C29,$D29,P$4)*$B29*hours_per_month</f>
        <v>0</v>
      </c>
      <c r="Q29" s="6" cm="1">
        <f t="array" ref="Q29">PercentageOfCurrentPeriod($C29,$D29,Q$4)*$B29*hours_per_month</f>
        <v>0</v>
      </c>
      <c r="R29" s="6" cm="1">
        <f t="array" ref="R29">PercentageOfCurrentPeriod($C29,$D29,R$4)*$B29*hours_per_month</f>
        <v>0</v>
      </c>
      <c r="S29" s="6" cm="1">
        <f t="array" ref="S29">PercentageOfCurrentPeriod($C29,$D29,S$4)*$B29*hours_per_month</f>
        <v>0</v>
      </c>
      <c r="T29" s="6" cm="1">
        <f t="array" ref="T29">PercentageOfCurrentPeriod($C29,$D29,T$4)*$B29*hours_per_month</f>
        <v>0</v>
      </c>
      <c r="U29" s="6" cm="1">
        <f t="array" ref="U29">PercentageOfCurrentPeriod($C29,$D29,U$4)*$B29*hours_per_month</f>
        <v>0</v>
      </c>
      <c r="V29" s="6" cm="1">
        <f t="array" ref="V29">PercentageOfCurrentPeriod($C29,$D29,V$4)*$B29*hours_per_month</f>
        <v>0</v>
      </c>
      <c r="W29" s="6" cm="1">
        <f t="array" ref="W29">PercentageOfCurrentPeriod($C29,$D29,W$4)*$B29*hours_per_month</f>
        <v>0</v>
      </c>
      <c r="X29" s="6" cm="1">
        <f t="array" ref="X29">PercentageOfCurrentPeriod($C29,$D29,X$4)*$B29*hours_per_month</f>
        <v>0</v>
      </c>
      <c r="Y29" s="6" cm="1">
        <f t="array" ref="Y29">PercentageOfCurrentPeriod($C29,$D29,Y$4)*$B29*hours_per_month</f>
        <v>0</v>
      </c>
      <c r="Z29" s="6" cm="1">
        <f t="array" ref="Z29">PercentageOfCurrentPeriod($C29,$D29,Z$4)*$B29*hours_per_month</f>
        <v>0</v>
      </c>
      <c r="AA29" s="6" cm="1">
        <f t="array" ref="AA29">PercentageOfCurrentPeriod($C29,$D29,AA$4)*$B29*hours_per_month</f>
        <v>0</v>
      </c>
      <c r="AB29" s="6" cm="1">
        <f t="array" ref="AB29">PercentageOfCurrentPeriod($C29,$D29,AB$4)*$B29*hours_per_month</f>
        <v>0</v>
      </c>
    </row>
    <row r="30" spans="1:28" x14ac:dyDescent="0.25">
      <c r="A30" s="28"/>
      <c r="B30" s="3"/>
      <c r="C30" s="3"/>
      <c r="D30" s="30"/>
      <c r="E30" s="18"/>
      <c r="F30" s="6" cm="1">
        <f t="array" ref="F30">PercentageOfCurrentPeriod($C30,$D30,F$4)*$B30*hours_per_month</f>
        <v>0</v>
      </c>
      <c r="G30" s="6" cm="1">
        <f t="array" ref="G30">PercentageOfCurrentPeriod($C30,$D30,G$4)*$B30*hours_per_month</f>
        <v>0</v>
      </c>
      <c r="H30" s="6" cm="1">
        <f t="array" ref="H30">PercentageOfCurrentPeriod($C30,$D30,H$4)*$B30*hours_per_month</f>
        <v>0</v>
      </c>
      <c r="I30" s="6" cm="1">
        <f t="array" ref="I30">PercentageOfCurrentPeriod($C30,$D30,I$4)*$B30*hours_per_month</f>
        <v>0</v>
      </c>
      <c r="J30" s="6" cm="1">
        <f t="array" ref="J30">PercentageOfCurrentPeriod($C30,$D30,J$4)*$B30*hours_per_month</f>
        <v>0</v>
      </c>
      <c r="K30" s="6" cm="1">
        <f t="array" ref="K30">PercentageOfCurrentPeriod($C30,$D30,K$4)*$B30*hours_per_month</f>
        <v>0</v>
      </c>
      <c r="L30" s="6" cm="1">
        <f t="array" ref="L30">PercentageOfCurrentPeriod($C30,$D30,L$4)*$B30*hours_per_month</f>
        <v>0</v>
      </c>
      <c r="M30" s="6" cm="1">
        <f t="array" ref="M30">PercentageOfCurrentPeriod($C30,$D30,M$4)*$B30*hours_per_month</f>
        <v>0</v>
      </c>
      <c r="N30" s="6" cm="1">
        <f t="array" ref="N30">PercentageOfCurrentPeriod($C30,$D30,N$4)*$B30*hours_per_month</f>
        <v>0</v>
      </c>
      <c r="O30" s="6" cm="1">
        <f t="array" ref="O30">PercentageOfCurrentPeriod($C30,$D30,O$4)*$B30*hours_per_month</f>
        <v>0</v>
      </c>
      <c r="P30" s="6" cm="1">
        <f t="array" ref="P30">PercentageOfCurrentPeriod($C30,$D30,P$4)*$B30*hours_per_month</f>
        <v>0</v>
      </c>
      <c r="Q30" s="6" cm="1">
        <f t="array" ref="Q30">PercentageOfCurrentPeriod($C30,$D30,Q$4)*$B30*hours_per_month</f>
        <v>0</v>
      </c>
      <c r="R30" s="6" cm="1">
        <f t="array" ref="R30">PercentageOfCurrentPeriod($C30,$D30,R$4)*$B30*hours_per_month</f>
        <v>0</v>
      </c>
      <c r="S30" s="6" cm="1">
        <f t="array" ref="S30">PercentageOfCurrentPeriod($C30,$D30,S$4)*$B30*hours_per_month</f>
        <v>0</v>
      </c>
      <c r="T30" s="6" cm="1">
        <f t="array" ref="T30">PercentageOfCurrentPeriod($C30,$D30,T$4)*$B30*hours_per_month</f>
        <v>0</v>
      </c>
      <c r="U30" s="6" cm="1">
        <f t="array" ref="U30">PercentageOfCurrentPeriod($C30,$D30,U$4)*$B30*hours_per_month</f>
        <v>0</v>
      </c>
      <c r="V30" s="6" cm="1">
        <f t="array" ref="V30">PercentageOfCurrentPeriod($C30,$D30,V$4)*$B30*hours_per_month</f>
        <v>0</v>
      </c>
      <c r="W30" s="6" cm="1">
        <f t="array" ref="W30">PercentageOfCurrentPeriod($C30,$D30,W$4)*$B30*hours_per_month</f>
        <v>0</v>
      </c>
      <c r="X30" s="6" cm="1">
        <f t="array" ref="X30">PercentageOfCurrentPeriod($C30,$D30,X$4)*$B30*hours_per_month</f>
        <v>0</v>
      </c>
      <c r="Y30" s="6" cm="1">
        <f t="array" ref="Y30">PercentageOfCurrentPeriod($C30,$D30,Y$4)*$B30*hours_per_month</f>
        <v>0</v>
      </c>
      <c r="Z30" s="6" cm="1">
        <f t="array" ref="Z30">PercentageOfCurrentPeriod($C30,$D30,Z$4)*$B30*hours_per_month</f>
        <v>0</v>
      </c>
      <c r="AA30" s="6" cm="1">
        <f t="array" ref="AA30">PercentageOfCurrentPeriod($C30,$D30,AA$4)*$B30*hours_per_month</f>
        <v>0</v>
      </c>
      <c r="AB30" s="6" cm="1">
        <f t="array" ref="AB30">PercentageOfCurrentPeriod($C30,$D30,AB$4)*$B30*hours_per_month</f>
        <v>0</v>
      </c>
    </row>
    <row r="31" spans="1:28" ht="15.75" thickBot="1" x14ac:dyDescent="0.3">
      <c r="A31" s="31"/>
      <c r="B31" s="32"/>
      <c r="C31" s="32"/>
      <c r="D31" s="33"/>
      <c r="E31" s="18"/>
      <c r="F31" s="6" cm="1">
        <f t="array" ref="F31">PercentageOfCurrentPeriod($C31,$D31,F$4)*$B31*hours_per_month</f>
        <v>0</v>
      </c>
      <c r="G31" s="6" cm="1">
        <f t="array" ref="G31">PercentageOfCurrentPeriod($C31,$D31,G$4)*$B31*hours_per_month</f>
        <v>0</v>
      </c>
      <c r="H31" s="6" cm="1">
        <f t="array" ref="H31">PercentageOfCurrentPeriod($C31,$D31,H$4)*$B31*hours_per_month</f>
        <v>0</v>
      </c>
      <c r="I31" s="6" cm="1">
        <f t="array" ref="I31">PercentageOfCurrentPeriod($C31,$D31,I$4)*$B31*hours_per_month</f>
        <v>0</v>
      </c>
      <c r="J31" s="6" cm="1">
        <f t="array" ref="J31">PercentageOfCurrentPeriod($C31,$D31,J$4)*$B31*hours_per_month</f>
        <v>0</v>
      </c>
      <c r="K31" s="6" cm="1">
        <f t="array" ref="K31">PercentageOfCurrentPeriod($C31,$D31,K$4)*$B31*hours_per_month</f>
        <v>0</v>
      </c>
      <c r="L31" s="6" cm="1">
        <f t="array" ref="L31">PercentageOfCurrentPeriod($C31,$D31,L$4)*$B31*hours_per_month</f>
        <v>0</v>
      </c>
      <c r="M31" s="6" cm="1">
        <f t="array" ref="M31">PercentageOfCurrentPeriod($C31,$D31,M$4)*$B31*hours_per_month</f>
        <v>0</v>
      </c>
      <c r="N31" s="6" cm="1">
        <f t="array" ref="N31">PercentageOfCurrentPeriod($C31,$D31,N$4)*$B31*hours_per_month</f>
        <v>0</v>
      </c>
      <c r="O31" s="6" cm="1">
        <f t="array" ref="O31">PercentageOfCurrentPeriod($C31,$D31,O$4)*$B31*hours_per_month</f>
        <v>0</v>
      </c>
      <c r="P31" s="6" cm="1">
        <f t="array" ref="P31">PercentageOfCurrentPeriod($C31,$D31,P$4)*$B31*hours_per_month</f>
        <v>0</v>
      </c>
      <c r="Q31" s="6" cm="1">
        <f t="array" ref="Q31">PercentageOfCurrentPeriod($C31,$D31,Q$4)*$B31*hours_per_month</f>
        <v>0</v>
      </c>
      <c r="R31" s="6" cm="1">
        <f t="array" ref="R31">PercentageOfCurrentPeriod($C31,$D31,R$4)*$B31*hours_per_month</f>
        <v>0</v>
      </c>
      <c r="S31" s="6" cm="1">
        <f t="array" ref="S31">PercentageOfCurrentPeriod($C31,$D31,S$4)*$B31*hours_per_month</f>
        <v>0</v>
      </c>
      <c r="T31" s="6" cm="1">
        <f t="array" ref="T31">PercentageOfCurrentPeriod($C31,$D31,T$4)*$B31*hours_per_month</f>
        <v>0</v>
      </c>
      <c r="U31" s="6" cm="1">
        <f t="array" ref="U31">PercentageOfCurrentPeriod($C31,$D31,U$4)*$B31*hours_per_month</f>
        <v>0</v>
      </c>
      <c r="V31" s="6" cm="1">
        <f t="array" ref="V31">PercentageOfCurrentPeriod($C31,$D31,V$4)*$B31*hours_per_month</f>
        <v>0</v>
      </c>
      <c r="W31" s="6" cm="1">
        <f t="array" ref="W31">PercentageOfCurrentPeriod($C31,$D31,W$4)*$B31*hours_per_month</f>
        <v>0</v>
      </c>
      <c r="X31" s="6" cm="1">
        <f t="array" ref="X31">PercentageOfCurrentPeriod($C31,$D31,X$4)*$B31*hours_per_month</f>
        <v>0</v>
      </c>
      <c r="Y31" s="6" cm="1">
        <f t="array" ref="Y31">PercentageOfCurrentPeriod($C31,$D31,Y$4)*$B31*hours_per_month</f>
        <v>0</v>
      </c>
      <c r="Z31" s="6" cm="1">
        <f t="array" ref="Z31">PercentageOfCurrentPeriod($C31,$D31,Z$4)*$B31*hours_per_month</f>
        <v>0</v>
      </c>
      <c r="AA31" s="6" cm="1">
        <f t="array" ref="AA31">PercentageOfCurrentPeriod($C31,$D31,AA$4)*$B31*hours_per_month</f>
        <v>0</v>
      </c>
      <c r="AB31" s="6" cm="1">
        <f t="array" ref="AB31">PercentageOfCurrentPeriod($C31,$D31,AB$4)*$B31*hours_per_month</f>
        <v>0</v>
      </c>
    </row>
    <row r="32" spans="1:28" ht="15.75" thickBot="1" x14ac:dyDescent="0.3"/>
    <row r="33" spans="1:30" ht="21.75" thickBot="1" x14ac:dyDescent="0.4">
      <c r="D33" s="11" t="s">
        <v>27</v>
      </c>
      <c r="F33" s="12">
        <f>SUM(F5:F31)</f>
        <v>21666.666666666668</v>
      </c>
      <c r="G33" s="12">
        <f t="shared" ref="G33:AB33" si="1">SUM(G5:G31)</f>
        <v>15795.698924731183</v>
      </c>
      <c r="H33" s="12">
        <f t="shared" si="1"/>
        <v>13000</v>
      </c>
      <c r="I33" s="12">
        <f t="shared" si="1"/>
        <v>13000</v>
      </c>
      <c r="J33" s="12">
        <f t="shared" si="1"/>
        <v>13000</v>
      </c>
      <c r="K33" s="12">
        <f t="shared" si="1"/>
        <v>22505.37634408602</v>
      </c>
      <c r="L33" s="12">
        <f t="shared" si="1"/>
        <v>65000</v>
      </c>
      <c r="M33" s="12">
        <f t="shared" si="1"/>
        <v>30482.758620689659</v>
      </c>
      <c r="N33" s="12">
        <f t="shared" si="1"/>
        <v>46548.387096774197</v>
      </c>
      <c r="O33" s="12">
        <f t="shared" si="1"/>
        <v>91000.000000000015</v>
      </c>
      <c r="P33" s="12">
        <f t="shared" si="1"/>
        <v>61225.806451612909</v>
      </c>
      <c r="Q33" s="12">
        <f t="shared" si="1"/>
        <v>69911.111111111124</v>
      </c>
      <c r="R33" s="12">
        <f t="shared" si="1"/>
        <v>60666.666666666672</v>
      </c>
      <c r="S33" s="12">
        <f t="shared" si="1"/>
        <v>60666.666666666672</v>
      </c>
      <c r="T33" s="12">
        <f t="shared" si="1"/>
        <v>60666.666666666672</v>
      </c>
      <c r="U33" s="12">
        <f t="shared" si="1"/>
        <v>52000.000000000007</v>
      </c>
      <c r="V33" s="12">
        <f t="shared" si="1"/>
        <v>38133.333333333336</v>
      </c>
      <c r="W33" s="12">
        <f t="shared" si="1"/>
        <v>8387.0967741935492</v>
      </c>
      <c r="X33" s="12">
        <f t="shared" si="1"/>
        <v>0</v>
      </c>
      <c r="Y33" s="12">
        <f t="shared" si="1"/>
        <v>0</v>
      </c>
      <c r="Z33" s="12">
        <f t="shared" si="1"/>
        <v>0</v>
      </c>
      <c r="AA33" s="12">
        <f t="shared" si="1"/>
        <v>0</v>
      </c>
      <c r="AB33" s="12">
        <f t="shared" si="1"/>
        <v>0</v>
      </c>
      <c r="AD33" s="10">
        <f>SUM(F33:AB33)</f>
        <v>743656.23532319872</v>
      </c>
    </row>
    <row r="34" spans="1:30" ht="15.75" thickBot="1" x14ac:dyDescent="0.3">
      <c r="D34" s="11" t="s">
        <v>28</v>
      </c>
      <c r="F34" s="15">
        <v>9000</v>
      </c>
      <c r="G34" s="16">
        <v>4000</v>
      </c>
      <c r="H34" s="16">
        <v>500</v>
      </c>
      <c r="I34" s="16">
        <v>0</v>
      </c>
      <c r="J34" s="16">
        <v>0</v>
      </c>
      <c r="K34" s="16">
        <v>0</v>
      </c>
      <c r="L34" s="16">
        <v>10000</v>
      </c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7"/>
    </row>
    <row r="35" spans="1:30" x14ac:dyDescent="0.25">
      <c r="D35" s="22"/>
    </row>
    <row r="36" spans="1:30" ht="15.75" thickBot="1" x14ac:dyDescent="0.3">
      <c r="D36" s="22"/>
      <c r="F36" s="13"/>
    </row>
    <row r="37" spans="1:30" x14ac:dyDescent="0.25">
      <c r="D37" s="11" t="s">
        <v>29</v>
      </c>
      <c r="F37" s="34">
        <f>F33+E37</f>
        <v>21666.666666666668</v>
      </c>
      <c r="G37" s="35">
        <f t="shared" ref="G37:AB37" si="2">G33+F37</f>
        <v>37462.365591397851</v>
      </c>
      <c r="H37" s="35">
        <f t="shared" si="2"/>
        <v>50462.365591397851</v>
      </c>
      <c r="I37" s="35">
        <f t="shared" si="2"/>
        <v>63462.365591397851</v>
      </c>
      <c r="J37" s="35">
        <f t="shared" si="2"/>
        <v>76462.365591397858</v>
      </c>
      <c r="K37" s="35">
        <f t="shared" si="2"/>
        <v>98967.741935483878</v>
      </c>
      <c r="L37" s="35">
        <f t="shared" si="2"/>
        <v>163967.74193548388</v>
      </c>
      <c r="M37" s="35">
        <f t="shared" si="2"/>
        <v>194450.50055617353</v>
      </c>
      <c r="N37" s="35">
        <f t="shared" si="2"/>
        <v>240998.88765294774</v>
      </c>
      <c r="O37" s="35">
        <f t="shared" si="2"/>
        <v>331998.88765294774</v>
      </c>
      <c r="P37" s="35">
        <f t="shared" si="2"/>
        <v>393224.69410456065</v>
      </c>
      <c r="Q37" s="35">
        <f t="shared" si="2"/>
        <v>463135.80521567177</v>
      </c>
      <c r="R37" s="35">
        <f t="shared" si="2"/>
        <v>523802.47188233846</v>
      </c>
      <c r="S37" s="35">
        <f t="shared" si="2"/>
        <v>584469.13854900515</v>
      </c>
      <c r="T37" s="35">
        <f t="shared" si="2"/>
        <v>645135.80521567177</v>
      </c>
      <c r="U37" s="35">
        <f t="shared" si="2"/>
        <v>697135.80521567177</v>
      </c>
      <c r="V37" s="35">
        <f t="shared" si="2"/>
        <v>735269.13854900515</v>
      </c>
      <c r="W37" s="35">
        <f t="shared" si="2"/>
        <v>743656.23532319872</v>
      </c>
      <c r="X37" s="35">
        <f t="shared" si="2"/>
        <v>743656.23532319872</v>
      </c>
      <c r="Y37" s="35">
        <f t="shared" si="2"/>
        <v>743656.23532319872</v>
      </c>
      <c r="Z37" s="35">
        <f t="shared" si="2"/>
        <v>743656.23532319872</v>
      </c>
      <c r="AA37" s="35">
        <f t="shared" si="2"/>
        <v>743656.23532319872</v>
      </c>
      <c r="AB37" s="36">
        <f t="shared" si="2"/>
        <v>743656.23532319872</v>
      </c>
    </row>
    <row r="38" spans="1:30" ht="15.75" thickBot="1" x14ac:dyDescent="0.3">
      <c r="D38" s="11" t="s">
        <v>30</v>
      </c>
      <c r="F38" s="37">
        <f>IF(ISBLANK(F34),"",F34+E38)</f>
        <v>9000</v>
      </c>
      <c r="G38" s="38">
        <f t="shared" ref="G38:AB38" si="3">IF(ISBLANK(G34),"",G34+F38)</f>
        <v>13000</v>
      </c>
      <c r="H38" s="38">
        <f t="shared" si="3"/>
        <v>13500</v>
      </c>
      <c r="I38" s="38">
        <f t="shared" si="3"/>
        <v>13500</v>
      </c>
      <c r="J38" s="38">
        <f t="shared" si="3"/>
        <v>13500</v>
      </c>
      <c r="K38" s="38">
        <f t="shared" si="3"/>
        <v>13500</v>
      </c>
      <c r="L38" s="38">
        <f t="shared" si="3"/>
        <v>23500</v>
      </c>
      <c r="M38" s="38" t="str">
        <f t="shared" si="3"/>
        <v/>
      </c>
      <c r="N38" s="38" t="str">
        <f t="shared" si="3"/>
        <v/>
      </c>
      <c r="O38" s="38" t="str">
        <f t="shared" si="3"/>
        <v/>
      </c>
      <c r="P38" s="38" t="str">
        <f t="shared" si="3"/>
        <v/>
      </c>
      <c r="Q38" s="38" t="str">
        <f t="shared" si="3"/>
        <v/>
      </c>
      <c r="R38" s="38" t="str">
        <f t="shared" si="3"/>
        <v/>
      </c>
      <c r="S38" s="38" t="str">
        <f t="shared" si="3"/>
        <v/>
      </c>
      <c r="T38" s="38" t="str">
        <f t="shared" si="3"/>
        <v/>
      </c>
      <c r="U38" s="38" t="str">
        <f t="shared" si="3"/>
        <v/>
      </c>
      <c r="V38" s="38" t="str">
        <f t="shared" si="3"/>
        <v/>
      </c>
      <c r="W38" s="38" t="str">
        <f t="shared" si="3"/>
        <v/>
      </c>
      <c r="X38" s="38" t="str">
        <f t="shared" si="3"/>
        <v/>
      </c>
      <c r="Y38" s="38" t="str">
        <f t="shared" si="3"/>
        <v/>
      </c>
      <c r="Z38" s="38" t="str">
        <f t="shared" si="3"/>
        <v/>
      </c>
      <c r="AA38" s="38" t="str">
        <f t="shared" si="3"/>
        <v/>
      </c>
      <c r="AB38" s="39" t="str">
        <f t="shared" si="3"/>
        <v/>
      </c>
    </row>
    <row r="39" spans="1:30" x14ac:dyDescent="0.25">
      <c r="D39" s="11"/>
    </row>
    <row r="40" spans="1:30" x14ac:dyDescent="0.25">
      <c r="D40" s="11" t="s">
        <v>31</v>
      </c>
      <c r="F40" s="23">
        <f>IF((F38=""),"",F38-F37)</f>
        <v>-12666.666666666668</v>
      </c>
      <c r="G40" s="23">
        <f t="shared" ref="G40:AB40" si="4">IF((G38=""),"",G38-G37)</f>
        <v>-24462.365591397851</v>
      </c>
      <c r="H40" s="23">
        <f t="shared" si="4"/>
        <v>-36962.365591397851</v>
      </c>
      <c r="I40" s="23">
        <f t="shared" si="4"/>
        <v>-49962.365591397851</v>
      </c>
      <c r="J40" s="23">
        <f t="shared" si="4"/>
        <v>-62962.365591397858</v>
      </c>
      <c r="K40" s="23">
        <f t="shared" si="4"/>
        <v>-85467.741935483878</v>
      </c>
      <c r="L40" s="23">
        <f t="shared" si="4"/>
        <v>-140467.74193548388</v>
      </c>
      <c r="M40" s="23" t="str">
        <f t="shared" si="4"/>
        <v/>
      </c>
      <c r="N40" s="23" t="str">
        <f t="shared" si="4"/>
        <v/>
      </c>
      <c r="O40" s="23" t="str">
        <f t="shared" si="4"/>
        <v/>
      </c>
      <c r="P40" s="23" t="str">
        <f t="shared" si="4"/>
        <v/>
      </c>
      <c r="Q40" s="23" t="str">
        <f t="shared" si="4"/>
        <v/>
      </c>
      <c r="R40" s="23" t="str">
        <f t="shared" si="4"/>
        <v/>
      </c>
      <c r="S40" s="23" t="str">
        <f t="shared" si="4"/>
        <v/>
      </c>
      <c r="T40" s="23" t="str">
        <f t="shared" si="4"/>
        <v/>
      </c>
      <c r="U40" s="23" t="str">
        <f t="shared" si="4"/>
        <v/>
      </c>
      <c r="V40" s="23" t="str">
        <f t="shared" si="4"/>
        <v/>
      </c>
      <c r="W40" s="23" t="str">
        <f t="shared" si="4"/>
        <v/>
      </c>
      <c r="X40" s="23" t="str">
        <f t="shared" si="4"/>
        <v/>
      </c>
      <c r="Y40" s="23" t="str">
        <f t="shared" si="4"/>
        <v/>
      </c>
      <c r="Z40" s="23" t="str">
        <f t="shared" si="4"/>
        <v/>
      </c>
      <c r="AA40" s="23" t="str">
        <f t="shared" si="4"/>
        <v/>
      </c>
      <c r="AB40" s="23" t="str">
        <f t="shared" si="4"/>
        <v/>
      </c>
    </row>
    <row r="43" spans="1:30" x14ac:dyDescent="0.25">
      <c r="A43" t="s">
        <v>33</v>
      </c>
    </row>
    <row r="44" spans="1:30" x14ac:dyDescent="0.25">
      <c r="A44" s="40" t="s">
        <v>32</v>
      </c>
    </row>
  </sheetData>
  <conditionalFormatting sqref="F5:AB31">
    <cfRule type="cellIs" dxfId="1" priority="3" operator="equal">
      <formula>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F33:AB33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40:AB40">
    <cfRule type="colorScale" priority="1">
      <colorScale>
        <cfvo type="min"/>
        <cfvo type="num" val="0"/>
        <cfvo type="max"/>
        <color theme="9"/>
        <color theme="0"/>
        <color rgb="FFF8696B"/>
      </colorScale>
    </cfRule>
  </conditionalFormatting>
  <hyperlinks>
    <hyperlink ref="A44" r:id="rId1" display="https://gist.github.com/densom/011ce175522c2edbcce680adaf466968" xr:uid="{AB221EFA-2BA1-4C82-BDB2-E3FA7C834ACA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73E3-1C27-48F5-A67B-62210012782B}">
  <sheetPr codeName="Sheet1"/>
  <dimension ref="A1:G7"/>
  <sheetViews>
    <sheetView workbookViewId="0">
      <selection activeCell="A15" sqref="A15"/>
    </sheetView>
  </sheetViews>
  <sheetFormatPr defaultRowHeight="15" x14ac:dyDescent="0.25"/>
  <cols>
    <col min="1" max="1" width="25.140625" bestFit="1" customWidth="1"/>
    <col min="3" max="4" width="10.7109375" bestFit="1" customWidth="1"/>
    <col min="5" max="5" width="9.28515625" bestFit="1" customWidth="1"/>
  </cols>
  <sheetData>
    <row r="1" spans="1:7" s="2" customFormat="1" x14ac:dyDescent="0.25">
      <c r="A1" s="2" t="s">
        <v>5</v>
      </c>
      <c r="B1" s="2" t="s">
        <v>0</v>
      </c>
      <c r="C1" s="2" t="s">
        <v>1</v>
      </c>
      <c r="D1" s="2" t="s">
        <v>2</v>
      </c>
      <c r="E1" s="2" t="s">
        <v>4</v>
      </c>
      <c r="F1" s="2" t="s">
        <v>3</v>
      </c>
    </row>
    <row r="2" spans="1:7" x14ac:dyDescent="0.25">
      <c r="A2" t="s">
        <v>6</v>
      </c>
      <c r="B2" s="1">
        <v>45383</v>
      </c>
      <c r="C2" s="1">
        <v>45389</v>
      </c>
      <c r="D2" s="1">
        <v>45352</v>
      </c>
      <c r="E2">
        <v>0</v>
      </c>
      <c r="F2" cm="1">
        <f t="array" ref="F2">ROUND(PercentageOfCurrentPeriod(B2,C2,D2),2)</f>
        <v>0</v>
      </c>
      <c r="G2" t="b">
        <f t="shared" ref="G2:G7" si="0">F2=E2</f>
        <v>1</v>
      </c>
    </row>
    <row r="3" spans="1:7" x14ac:dyDescent="0.25">
      <c r="A3" t="s">
        <v>7</v>
      </c>
      <c r="B3" s="1">
        <v>45383</v>
      </c>
      <c r="C3" s="1">
        <v>45389</v>
      </c>
      <c r="D3" s="1">
        <v>45413</v>
      </c>
      <c r="E3">
        <v>0</v>
      </c>
      <c r="F3" cm="1">
        <f t="array" ref="F3">ROUND(PercentageOfCurrentPeriod(B3,C3,D3),2)</f>
        <v>0</v>
      </c>
      <c r="G3" t="b">
        <f t="shared" si="0"/>
        <v>1</v>
      </c>
    </row>
    <row r="4" spans="1:7" x14ac:dyDescent="0.25">
      <c r="A4" t="s">
        <v>8</v>
      </c>
      <c r="B4" s="1">
        <v>45383</v>
      </c>
      <c r="C4" s="1">
        <v>45657</v>
      </c>
      <c r="D4" s="1">
        <v>45383</v>
      </c>
      <c r="E4">
        <v>1</v>
      </c>
      <c r="F4" cm="1">
        <f t="array" ref="F4">ROUND(PercentageOfCurrentPeriod(B4,C4,D4),2)</f>
        <v>1</v>
      </c>
      <c r="G4" t="b">
        <f t="shared" si="0"/>
        <v>1</v>
      </c>
    </row>
    <row r="5" spans="1:7" x14ac:dyDescent="0.25">
      <c r="A5" t="s">
        <v>9</v>
      </c>
      <c r="B5" s="1">
        <v>45292</v>
      </c>
      <c r="C5" s="1">
        <v>45383</v>
      </c>
      <c r="D5" s="1">
        <v>45383</v>
      </c>
      <c r="E5">
        <f>ROUND(1/30,2)</f>
        <v>0.03</v>
      </c>
      <c r="F5" cm="1">
        <f t="array" ref="F5">ROUND(PercentageOfCurrentPeriod(B5,C5,D5),2)</f>
        <v>0.03</v>
      </c>
      <c r="G5" t="b">
        <f t="shared" si="0"/>
        <v>1</v>
      </c>
    </row>
    <row r="6" spans="1:7" x14ac:dyDescent="0.25">
      <c r="A6" t="s">
        <v>11</v>
      </c>
      <c r="B6" s="1">
        <v>45445</v>
      </c>
      <c r="C6" s="1">
        <v>45657</v>
      </c>
      <c r="D6" s="1">
        <v>45444</v>
      </c>
      <c r="E6">
        <f>ROUND(29/30,2)</f>
        <v>0.97</v>
      </c>
      <c r="F6" cm="1">
        <f t="array" ref="F6">ROUND(PercentageOfCurrentPeriod(B6,C6,D6),2)</f>
        <v>0.97</v>
      </c>
      <c r="G6" t="b">
        <f t="shared" si="0"/>
        <v>1</v>
      </c>
    </row>
    <row r="7" spans="1:7" x14ac:dyDescent="0.25">
      <c r="A7" t="s">
        <v>10</v>
      </c>
      <c r="B7" s="1">
        <v>45413</v>
      </c>
      <c r="C7" s="1">
        <v>45468</v>
      </c>
      <c r="D7" s="1">
        <v>45444</v>
      </c>
      <c r="E7">
        <f>ROUND(25/30,2)</f>
        <v>0.83</v>
      </c>
      <c r="F7" cm="1">
        <f t="array" ref="F7">ROUND(PercentageOfCurrentPeriod(B7,C7,D7),2)</f>
        <v>0.83</v>
      </c>
      <c r="G7" t="b">
        <f t="shared" si="0"/>
        <v>1</v>
      </c>
    </row>
  </sheetData>
  <conditionalFormatting sqref="G2:G7">
    <cfRule type="expression" dxfId="0" priority="1">
      <formula>G2=FALSE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Example</vt:lpstr>
      <vt:lpstr>Tests</vt:lpstr>
      <vt:lpstr>hours_per_month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A Somerville</dc:creator>
  <cp:lastModifiedBy>Dennis Somerville</cp:lastModifiedBy>
  <dcterms:created xsi:type="dcterms:W3CDTF">2024-05-09T16:00:24Z</dcterms:created>
  <dcterms:modified xsi:type="dcterms:W3CDTF">2024-05-14T01:14:03Z</dcterms:modified>
</cp:coreProperties>
</file>